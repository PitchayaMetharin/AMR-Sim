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BOM" sheetId="1" state="visible" r:id="rId2"/>
    <sheet name="Power Budget" sheetId="2" state="visible" r:id="rId3"/>
    <sheet name="Communication Matrix" sheetId="3" state="visible" r:id="rId4"/>
    <sheet name="Design Notes" sheetId="4" state="visible" r:id="rId5"/>
    <sheet name="Procurement Summary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<sst xmlns="http://schemas.openxmlformats.org/spreadsheetml/2006/main" count="959" uniqueCount="669">
  <si>
    <t xml:space="preserve">Industrial AMR — Full Bill of Materials</t>
  </si>
  <si>
    <t xml:space="preserve">Conceptual future physical BOM • Simulation-only academic project • No current procurement</t>
  </si>
  <si>
    <t xml:space="preserve">No.</t>
  </si>
  <si>
    <t xml:space="preserve">Category</t>
  </si>
  <si>
    <t xml:space="preserve">Component</t>
  </si>
  <si>
    <t xml:space="preserve">Part No.</t>
  </si>
  <si>
    <t xml:space="preserve">Brand</t>
  </si>
  <si>
    <t xml:space="preserve">Qty</t>
  </si>
  <si>
    <t xml:space="preserve">Supply / Rating</t>
  </si>
  <si>
    <t xml:space="preserve">Unit Power</t>
  </si>
  <si>
    <t xml:space="preserve">Total Power</t>
  </si>
  <si>
    <t xml:space="preserve">Communication</t>
  </si>
  <si>
    <t xml:space="preserve">Connects To</t>
  </si>
  <si>
    <t xml:space="preserve">Safety Role</t>
  </si>
  <si>
    <t xml:space="preserve">CAD Availability</t>
  </si>
  <si>
    <t xml:space="preserve">Datasheet Link</t>
  </si>
  <si>
    <t xml:space="preserve">CAD Link</t>
  </si>
  <si>
    <t xml:space="preserve">Preferred Supplier</t>
  </si>
  <si>
    <t xml:space="preserve">Shop Link</t>
  </si>
  <si>
    <t xml:space="preserve">Listed Price</t>
  </si>
  <si>
    <t xml:space="preserve">Currency</t>
  </si>
  <si>
    <t xml:space="preserve">Price / Availability Status</t>
  </si>
  <si>
    <t xml:space="preserve">Checked</t>
  </si>
  <si>
    <t xml:space="preserve">Notes</t>
  </si>
  <si>
    <t xml:space="preserve">Unit Price THB</t>
  </si>
  <si>
    <t xml:space="preserve">Total THB</t>
  </si>
  <si>
    <t xml:space="preserve">Compute</t>
  </si>
  <si>
    <t xml:space="preserve">AI computer</t>
  </si>
  <si>
    <t xml:space="preserve">Jetson Orin Nano Developer Kit 8GB</t>
  </si>
  <si>
    <t xml:space="preserve">NVIDIA</t>
  </si>
  <si>
    <t xml:space="preserve">9–20 VDC input</t>
  </si>
  <si>
    <t xml:space="preserve">Gigabit Ethernet; USB; UART; CAN via adapter</t>
  </si>
  <si>
    <t xml:space="preserve">SCALANCE switch; Xsens; CAN adapter</t>
  </si>
  <si>
    <t xml:space="preserve">Non-safety navigation computer</t>
  </si>
  <si>
    <t xml:space="preserve">Official 3D model available</t>
  </si>
  <si>
    <t xml:space="preserve">https://developer.nvidia.com/embedded/learn/jetson-orin-nano-devkit-user-guide/index.html</t>
  </si>
  <si>
    <t xml:space="preserve">https://developer.nvidia.com/embedded/community/jetson-projects</t>
  </si>
  <si>
    <t xml:space="preserve">Cytron Thailand</t>
  </si>
  <si>
    <t xml:space="preserve">https://th.cytron.io/p-nvidia-jetson-orin-nano-8gb-dev-kits</t>
  </si>
  <si>
    <t xml:space="preserve">17,400.00</t>
  </si>
  <si>
    <t xml:space="preserve">THB</t>
  </si>
  <si>
    <t xml:space="preserve">Thailand listing; price shown on product category page</t>
  </si>
  <si>
    <t xml:space="preserve">2026-07-17</t>
  </si>
  <si>
    <t xml:space="preserve">Candidate future physical compute only; current project runs on a laptop</t>
  </si>
  <si>
    <t xml:space="preserve">Motion</t>
  </si>
  <si>
    <t xml:space="preserve">Dual-axis BLDC servo driver</t>
  </si>
  <si>
    <t xml:space="preserve">ZLAC8030D</t>
  </si>
  <si>
    <t xml:space="preserve">ZLTECH</t>
  </si>
  <si>
    <t xml:space="preserve">24–48 VDC; 30 A/channel class; 60 A peak stated</t>
  </si>
  <si>
    <t xml:space="preserve">CANopen CiA 301/402; Modbus RTU RS-485</t>
  </si>
  <si>
    <t xml:space="preserve">Jetson through isolated CAN; two hub motors</t>
  </si>
  <si>
    <t xml:space="preserve">Programmable enable only; not certified STO</t>
  </si>
  <si>
    <t xml:space="preserve">Manufacturer dimensional drawing / CAD model</t>
  </si>
  <si>
    <t xml:space="preserve">https://www.zlingkj.com/en/robot-hub-servo-motor-series/550676</t>
  </si>
  <si>
    <t xml:space="preserve">ZLTECH direct / China ZLTECH</t>
  </si>
  <si>
    <t xml:space="preserve">RFQ</t>
  </si>
  <si>
    <t xml:space="preserve">Direct manufacturer quotation required</t>
  </si>
  <si>
    <t xml:space="preserve">Final bus-voltage and regeneration check deferred by user</t>
  </si>
  <si>
    <t xml:space="preserve">Left hub BLDC servo motor</t>
  </si>
  <si>
    <t xml:space="preserve">ZLLG10ASM800 V2.0</t>
  </si>
  <si>
    <t xml:space="preserve">48 V; 800 W; 8.5 A rated; 25 A peak</t>
  </si>
  <si>
    <t xml:space="preserve">Motor phases; Hall/4096-line magnetic encoder</t>
  </si>
  <si>
    <t xml:space="preserve">ZLAC8030D channel 1</t>
  </si>
  <si>
    <t xml:space="preserve">None</t>
  </si>
  <si>
    <t xml:space="preserve">Official dimensional drawing</t>
  </si>
  <si>
    <t xml:space="preserve">https://www.zlingkj.com/en/robot-hub-servo-motor-series/565267</t>
  </si>
  <si>
    <t xml:space="preserve">10-inch drive wheel</t>
  </si>
  <si>
    <t xml:space="preserve">Right hub BLDC servo motor</t>
  </si>
  <si>
    <t xml:space="preserve">ZLAC8030D channel 2</t>
  </si>
  <si>
    <t xml:space="preserve">Navigation</t>
  </si>
  <si>
    <t xml:space="preserve">Navigation LiDAR front</t>
  </si>
  <si>
    <t xml:space="preserve">MRS1104C-111011 / 1081208</t>
  </si>
  <si>
    <t xml:space="preserve">SICK</t>
  </si>
  <si>
    <t xml:space="preserve">1</t>
  </si>
  <si>
    <t xml:space="preserve">10–30 VDC; typ. 13 W; max. 37 W</t>
  </si>
  <si>
    <t xml:space="preserve">Ethernet TCP/IP; CoLa; ROS 2 driver configuration TBD</t>
  </si>
  <si>
    <t xml:space="preserve">Jetson through SCALANCE switch</t>
  </si>
  <si>
    <t xml:space="preserve">Not safety-rated for personnel protection</t>
  </si>
  <si>
    <t xml:space="preserve">Official mechanical drawing and product data available</t>
  </si>
  <si>
    <t xml:space="preserve">https://www.sick.com/media/pdf/4/44/044/dataSheet_MRS1104C-111011_1081208_en.pdf</t>
  </si>
  <si>
    <t xml:space="preserve">https://www.sick.com/MRS1000</t>
  </si>
  <si>
    <t xml:space="preserve">SICK Thailand / authorised distributor</t>
  </si>
  <si>
    <t xml:space="preserve">Request quotation for exact order number 1081208</t>
  </si>
  <si>
    <t xml:space="preserve">2026-07-24</t>
  </si>
  <si>
    <t xml:space="preserve">Simulated front-left 3D LiDAR characteristics; no physical purchase; exact pose TBD</t>
  </si>
  <si>
    <t xml:space="preserve">Navigation LiDAR rear</t>
  </si>
  <si>
    <t xml:space="preserve">Simulated rear-right 3D LiDAR characteristics; no physical purchase; exact pose TBD</t>
  </si>
  <si>
    <t xml:space="preserve">Localization</t>
  </si>
  <si>
    <t xml:space="preserve">Industrial IMU</t>
  </si>
  <si>
    <t xml:space="preserve">MTi-8-5A-DK</t>
  </si>
  <si>
    <t xml:space="preserve">Xsens</t>
  </si>
  <si>
    <t xml:space="preserve">5 V via USB / DK supply</t>
  </si>
  <si>
    <t xml:space="preserve">USB 2.0; UART; RS-232 depending interface</t>
  </si>
  <si>
    <t xml:space="preserve">Jetson</t>
  </si>
  <si>
    <t xml:space="preserve">Non-safety localization input</t>
  </si>
  <si>
    <t xml:space="preserve">Official mechanical drawing</t>
  </si>
  <si>
    <t xml:space="preserve">https://www.movella.com/products/sensor-modules/xsens-mti-8</t>
  </si>
  <si>
    <t xml:space="preserve">Movella / Xsens distributor</t>
  </si>
  <si>
    <t xml:space="preserve">Development kit pricing is quotation-based</t>
  </si>
  <si>
    <t xml:space="preserve">Candidate future MTi-8-5A-DK only; current project uses Gazebo-generated IMU data</t>
  </si>
  <si>
    <t xml:space="preserve">PLC &amp; safety</t>
  </si>
  <si>
    <t xml:space="preserve">Fail-safe PLC CPU</t>
  </si>
  <si>
    <t xml:space="preserve">6ES7214-1AF40-0XB0</t>
  </si>
  <si>
    <t xml:space="preserve">Siemens</t>
  </si>
  <si>
    <t xml:space="preserve">20.4–28.8 VDC</t>
  </si>
  <si>
    <t xml:space="preserve">PROFINET; PROFIsafe; Ethernet</t>
  </si>
  <si>
    <t xml:space="preserve">SCALANCE; HMI; safety scanners; Jetson</t>
  </si>
  <si>
    <t xml:space="preserve">Runs safety and standard PLC logic</t>
  </si>
  <si>
    <t xml:space="preserve">Official M-CAD/E-CAD</t>
  </si>
  <si>
    <t xml:space="preserve">https://sieportal.siemens.com/en-ww/products-services/detail/6ES7214-1AF40-0XB0</t>
  </si>
  <si>
    <t xml:space="preserve">https://mall.industry.siemens.com/mall/en/WW/Catalog/Product/6ES7214-1AF40-0XB0</t>
  </si>
  <si>
    <t xml:space="preserve">RS Thailand</t>
  </si>
  <si>
    <t xml:space="preserve">https://th.rs-online.com/web/p/plcs-programmable-logic-controllers/2008960</t>
  </si>
  <si>
    <t xml:space="preserve">39,047.45</t>
  </si>
  <si>
    <t xml:space="preserve">Ex VAT</t>
  </si>
  <si>
    <t xml:space="preserve">Candidate future PLC only; PLC authority and safety-state behavior are simulated</t>
  </si>
  <si>
    <t xml:space="preserve">Fail-safe digital input module</t>
  </si>
  <si>
    <t xml:space="preserve">6ES7226-6BA32-0XB0</t>
  </si>
  <si>
    <t xml:space="preserve">24 VDC</t>
  </si>
  <si>
    <t xml:space="preserve">Backplane + PROFIsafe processing</t>
  </si>
  <si>
    <t xml:space="preserve">CPU 1214FC</t>
  </si>
  <si>
    <t xml:space="preserve">E-stops, bumper, interlocks, feedback</t>
  </si>
  <si>
    <t xml:space="preserve">https://support.industry.siemens.com/cs/products/6es7226-6ba32-0xb0</t>
  </si>
  <si>
    <t xml:space="preserve">https://mall.industry.siemens.com/mall/en/WW/Catalog/Product/6ES7226-6BA32-0XB0</t>
  </si>
  <si>
    <t xml:space="preserve">MISUMI Thailand</t>
  </si>
  <si>
    <t xml:space="preserve">https://th.misumi-ec.com/en/vona2/detail/222304577158/?HissuCode=6ES7226-6BA32-0XB0</t>
  </si>
  <si>
    <t xml:space="preserve">6,235.29</t>
  </si>
  <si>
    <t xml:space="preserve">Listed price; 45-day lead time shown</t>
  </si>
  <si>
    <t xml:space="preserve">16 fail-safe inputs</t>
  </si>
  <si>
    <t xml:space="preserve">Fail-safe digital output module</t>
  </si>
  <si>
    <t xml:space="preserve">6ES7226-6DA32-0XB0</t>
  </si>
  <si>
    <t xml:space="preserve">24 VDC; 2 A/output</t>
  </si>
  <si>
    <t xml:space="preserve">CPU 1214FC; safety contactors</t>
  </si>
  <si>
    <t xml:space="preserve">Redundant safe output control</t>
  </si>
  <si>
    <t xml:space="preserve">https://support.industry.siemens.com/teddatasheet/?caller=SIOS&amp;format=pdf&amp;language=en&amp;mlfbs=6ES7226-6DA32-0XB0</t>
  </si>
  <si>
    <t xml:space="preserve">https://mall.industry.siemens.com/mall/en/WW/Catalog/Product/6ES7226-6DA32-0XB0</t>
  </si>
  <si>
    <t xml:space="preserve">RS / Automation24</t>
  </si>
  <si>
    <t xml:space="preserve">https://www.automation24.com/siemens-sm-1226-6es7226-6da32-0-xb0</t>
  </si>
  <si>
    <t xml:space="preserve">206.10</t>
  </si>
  <si>
    <t xml:space="preserve">EUR</t>
  </si>
  <si>
    <t xml:space="preserve">International supplier; plus VAT and shipping</t>
  </si>
  <si>
    <t xml:space="preserve">4 fail-safe outputs</t>
  </si>
  <si>
    <t xml:space="preserve">SIMATIC memory card</t>
  </si>
  <si>
    <t xml:space="preserve">6ES7954-8LC03-0AA0</t>
  </si>
  <si>
    <t xml:space="preserve">24 MB</t>
  </si>
  <si>
    <t xml:space="preserve">PLC memory interface</t>
  </si>
  <si>
    <t xml:space="preserve">Program/firmware backup</t>
  </si>
  <si>
    <t xml:space="preserve">https://mall.industry.siemens.com/mall/en/WW/Catalog/Product/6ES7954-8LC03-0AA0</t>
  </si>
  <si>
    <t xml:space="preserve">Siemens distributor / RS</t>
  </si>
  <si>
    <t xml:space="preserve">https://sieportal.siemens.com/en-ww/products-services/detail/6ES7954-8LF04-0AA0</t>
  </si>
  <si>
    <t xml:space="preserve">Use current 24 MB card revision; local quote recommended</t>
  </si>
  <si>
    <t xml:space="preserve">Recommended for serviceability</t>
  </si>
  <si>
    <t xml:space="preserve">Networking</t>
  </si>
  <si>
    <t xml:space="preserve">Managed industrial Ethernet switch</t>
  </si>
  <si>
    <t xml:space="preserve">6GK5216-0BA00-2AC2 / SCALANCE XC216</t>
  </si>
  <si>
    <t xml:space="preserve">24 VDC redundant input</t>
  </si>
  <si>
    <t xml:space="preserve">16× 10/100 Ethernet; PROFINET device; VLAN/RSTP/SNMP</t>
  </si>
  <si>
    <t xml:space="preserve">All Ethernet and PROFINET devices</t>
  </si>
  <si>
    <t xml:space="preserve">Network diagnostics; not a safety controller</t>
  </si>
  <si>
    <t xml:space="preserve">https://support.industry.siemens.com/cs/products/6gk5216-0ba00-2ac2/scalance-xc216</t>
  </si>
  <si>
    <t xml:space="preserve">https://mall.industry.siemens.com/mall/en/WW/Catalog/Product/6GK5216-0BA00-2AC2</t>
  </si>
  <si>
    <t xml:space="preserve">https://th.misumi-ec.com/en/vona2/detail/222304577574/?HissuCode=6GK5216-0BA00-2AC2</t>
  </si>
  <si>
    <t xml:space="preserve">51,411.76</t>
  </si>
  <si>
    <t xml:space="preserve">Listed price</t>
  </si>
  <si>
    <t xml:space="preserve">16 ports leaves service/expansion ports</t>
  </si>
  <si>
    <t xml:space="preserve">Isolated USB-to-CAN interface</t>
  </si>
  <si>
    <t xml:space="preserve">PCAN-USB Pro FD IPEH-004061</t>
  </si>
  <si>
    <t xml:space="preserve">PEAK-System</t>
  </si>
  <si>
    <t xml:space="preserve">USB powered</t>
  </si>
  <si>
    <t xml:space="preserve">CAN / CAN FD over USB</t>
  </si>
  <si>
    <t xml:space="preserve">Jetson to ZLAC8030D</t>
  </si>
  <si>
    <t xml:space="preserve">Non-safety motor command path</t>
  </si>
  <si>
    <t xml:space="preserve">Mechanical drawing available</t>
  </si>
  <si>
    <t xml:space="preserve">https://www.peak-system.com/PCAN-USB-Pro-FD.366.0.html?&amp;L=1</t>
  </si>
  <si>
    <t xml:space="preserve">https://www.peak-system.com/produktcd/Pdf/English/PCAN-USB-Pro-FD_UserMan_eng.pdf</t>
  </si>
  <si>
    <t xml:space="preserve">Techsquare Thailand</t>
  </si>
  <si>
    <t xml:space="preserve">https://www.techsquare.co.th/product/peak-system-pcan-usb-pro-fd-can-can-fd-and-lin-interface-for-high-speed-usb-2-0/</t>
  </si>
  <si>
    <t xml:space="preserve">Thailand supplier; request quotation</t>
  </si>
  <si>
    <t xml:space="preserve">Use classic CAN for ZLAC8030D CANopen</t>
  </si>
  <si>
    <t xml:space="preserve">Operator interface</t>
  </si>
  <si>
    <t xml:space="preserve">7-inch Basic HMI</t>
  </si>
  <si>
    <t xml:space="preserve">6AV2123-2GB03-0AX0 / KTP700 Basic PN</t>
  </si>
  <si>
    <t xml:space="preserve">PROFINET/Ethernet</t>
  </si>
  <si>
    <t xml:space="preserve">PLC through SCALANCE</t>
  </si>
  <si>
    <t xml:space="preserve">Displays status; not safety-rated</t>
  </si>
  <si>
    <t xml:space="preserve">https://mall.industry.siemens.com/mall/en/WW/Catalog/Product/6AV2123-2GB03-0AX0</t>
  </si>
  <si>
    <t xml:space="preserve">https://th.misumi-ec.com/th/vona2/detail/222304577686/?HissuCode=6AV2123-2GB03-0AX0</t>
  </si>
  <si>
    <t xml:space="preserve">21,137.50</t>
  </si>
  <si>
    <t xml:space="preserve">Listed price; 2-day lead time shown</t>
  </si>
  <si>
    <t xml:space="preserve">Local diagnostics and manual operation</t>
  </si>
  <si>
    <t xml:space="preserve">Power conversion</t>
  </si>
  <si>
    <t xml:space="preserve">48 V nominal to 24 V industrial DC/DC</t>
  </si>
  <si>
    <t xml:space="preserve">DDR-240C-24</t>
  </si>
  <si>
    <t xml:space="preserve">MEAN WELL</t>
  </si>
  <si>
    <t xml:space="preserve">33.6–67.2 VDC in; 24 V 10 A out</t>
  </si>
  <si>
    <t xml:space="preserve">Power only; alarm contact if fitted</t>
  </si>
  <si>
    <t xml:space="preserve">24 V PLC, controls, networking, and verified sensor loads</t>
  </si>
  <si>
    <t xml:space="preserve">Maintains the 24 V control rail from the traction battery</t>
  </si>
  <si>
    <t xml:space="preserve">Official 3D model/drawing</t>
  </si>
  <si>
    <t xml:space="preserve">https://www.meanwell.com/Upload/PDF/DDR-240/DDR-240-spec.pdf</t>
  </si>
  <si>
    <t xml:space="preserve">https://www.meanwell.com/webapp/product/search.aspx?prod=DDR-240</t>
  </si>
  <si>
    <t xml:space="preserve">DigiKey Thailand</t>
  </si>
  <si>
    <t xml:space="preserve">https://www.digikey.co.th/en/products/detail/mean-well-usa-inc/DDR-240C-24/9602713</t>
  </si>
  <si>
    <t xml:space="preserve">3,297.93</t>
  </si>
  <si>
    <t xml:space="preserve">Listed unit price; stock varies</t>
  </si>
  <si>
    <t xml:space="preserve">Size based on worst-case 24 V load; verify final thermal margin</t>
  </si>
  <si>
    <t xml:space="preserve">48 V nominal to 12 V industrial DC/DC</t>
  </si>
  <si>
    <t xml:space="preserve">DDR-60L-12</t>
  </si>
  <si>
    <t xml:space="preserve">18–75 VDC in; 12 V 5 A out</t>
  </si>
  <si>
    <t xml:space="preserve">Power only</t>
  </si>
  <si>
    <t xml:space="preserve">Jetson Orin Nano</t>
  </si>
  <si>
    <t xml:space="preserve">Separate compute rail</t>
  </si>
  <si>
    <t xml:space="preserve">https://www.meanwell.com/Upload/PDF/DDR-60/DDR-60-spec.pdf</t>
  </si>
  <si>
    <t xml:space="preserve">https://www.meanwell.com/webapp/product/search.aspx?prod=DDR-60</t>
  </si>
  <si>
    <t xml:space="preserve">DigiKey Thailand / MEAN WELL distributor</t>
  </si>
  <si>
    <t xml:space="preserve">https://www.digikey.co.th/en/products/filter/dc-dc-converters/922?s=N4IgTCBcDaIC4AsCmAnApgAgDIHsB2A5iALoC%2BQA</t>
  </si>
  <si>
    <t xml:space="preserve">Search exact DDR-60L-12; request quote if not stocked</t>
  </si>
  <si>
    <t xml:space="preserve">Dedicated Jetson supply</t>
  </si>
  <si>
    <t xml:space="preserve">Power source</t>
  </si>
  <si>
    <t xml:space="preserve">Assembled traction battery with BMS</t>
  </si>
  <si>
    <t xml:space="preserve">User-supplied 48 V LiFePO4 / exact model TBD</t>
  </si>
  <si>
    <t xml:space="preserve">User supplied</t>
  </si>
  <si>
    <t xml:space="preserve">48/51.2 V nominal; capacity and mass TBD</t>
  </si>
  <si>
    <t xml:space="preserve">CAN or RS-485 if available; otherwise discrete status; exact BMS TBD</t>
  </si>
  <si>
    <t xml:space="preserve">Main DC bus</t>
  </si>
  <si>
    <t xml:space="preserve">Energy source; BMS protection</t>
  </si>
  <si>
    <t xml:space="preserve">User-supplied CAD</t>
  </si>
  <si>
    <t xml:space="preserve">Owned</t>
  </si>
  <si>
    <t xml:space="preserve">Battery and BMS already owned by user</t>
  </si>
  <si>
    <t xml:space="preserve">Battery capacity, mass, BMS interface, and exact model remain open</t>
  </si>
  <si>
    <t xml:space="preserve">Charging</t>
  </si>
  <si>
    <t xml:space="preserve">Matched LiFePO4 charger</t>
  </si>
  <si>
    <t xml:space="preserve">User-supplied / exact model TBD</t>
  </si>
  <si>
    <t xml:space="preserve">TBD</t>
  </si>
  <si>
    <t xml:space="preserve">Match battery/BMS</t>
  </si>
  <si>
    <t xml:space="preserve">CAN/RS-485 or dry contacts if available</t>
  </si>
  <si>
    <t xml:space="preserve">Battery; PLC status input</t>
  </si>
  <si>
    <t xml:space="preserve">Charging interlock</t>
  </si>
  <si>
    <t xml:space="preserve">Require STEP/2D drawing</t>
  </si>
  <si>
    <t xml:space="preserve">Battery supplier / charger manufacturer</t>
  </si>
  <si>
    <t xml:space="preserve">Match existing battery/BMS charge profile</t>
  </si>
  <si>
    <t xml:space="preserve">Exact model depends on existing battery</t>
  </si>
  <si>
    <t xml:space="preserve">Power safety</t>
  </si>
  <si>
    <t xml:space="preserve">Main DC fuse</t>
  </si>
  <si>
    <t xml:space="preserve">MEGA / MIDI DC fuse, final rating TBD</t>
  </si>
  <si>
    <t xml:space="preserve">Littelfuse</t>
  </si>
  <si>
    <t xml:space="preserve">≥ battery max voltage; provisional 80–100 A</t>
  </si>
  <si>
    <t xml:space="preserve">Battery positive bus</t>
  </si>
  <si>
    <t xml:space="preserve">Primary short-circuit protection</t>
  </si>
  <si>
    <t xml:space="preserve">Official CAD available</t>
  </si>
  <si>
    <t xml:space="preserve">https://www.littelfuse.com/products/fuses/automotive-passenger-car/high-current-fuses/mega</t>
  </si>
  <si>
    <t xml:space="preserve">RS Thailand / Littelfuse distributor</t>
  </si>
  <si>
    <t xml:space="preserve">https://th.rs-online.com/web/c/fuses-circuit-breakers/fuses/automotive-fuses/</t>
  </si>
  <si>
    <t xml:space="preserve">Final fuse rating still TBD; quote after rating is frozen</t>
  </si>
  <si>
    <t xml:space="preserve">Final size after current-limit confirmation</t>
  </si>
  <si>
    <t xml:space="preserve">Main battery disconnect</t>
  </si>
  <si>
    <t xml:space="preserve">m-Series 6006</t>
  </si>
  <si>
    <t xml:space="preserve">Blue Sea Systems</t>
  </si>
  <si>
    <t xml:space="preserve">48 VDC class; current rating per datasheet</t>
  </si>
  <si>
    <t xml:space="preserve">Manual mechanical isolation</t>
  </si>
  <si>
    <t xml:space="preserve">Battery main bus</t>
  </si>
  <si>
    <t xml:space="preserve">Lockable service isolation</t>
  </si>
  <si>
    <t xml:space="preserve">https://www.bluesea.com/products/6006/m-Series_Battery_Switch_ON-OFF_with_Knob_-_Red</t>
  </si>
  <si>
    <t xml:space="preserve">Blue Sea authorised reseller</t>
  </si>
  <si>
    <t xml:space="preserve">Local marine/electrical distributor quotation</t>
  </si>
  <si>
    <t xml:space="preserve">Choose DC rating with margin</t>
  </si>
  <si>
    <t xml:space="preserve">Main safety contactor K1</t>
  </si>
  <si>
    <t xml:space="preserve">EV200AAANA</t>
  </si>
  <si>
    <t xml:space="preserve">TE Connectivity / Kilovac</t>
  </si>
  <si>
    <t xml:space="preserve">12–900 VDC switching class; 24 V coil variant preferred</t>
  </si>
  <si>
    <t xml:space="preserve">24 V coil + auxiliary feedback</t>
  </si>
  <si>
    <t xml:space="preserve">F-DQ; drive DC bus</t>
  </si>
  <si>
    <t xml:space="preserve">Redundant propulsion power isolation</t>
  </si>
  <si>
    <t xml:space="preserve">Official 3D CAD</t>
  </si>
  <si>
    <t xml:space="preserve">https://www.te.com/usa-en/product-1618002-7.html</t>
  </si>
  <si>
    <t xml:space="preserve">https://www.digikey.co.th/th/products/detail/te-connectivity-aerospace-defense-and-marine/EV200AAANA/1209930</t>
  </si>
  <si>
    <t xml:space="preserve">5,636.60</t>
  </si>
  <si>
    <t xml:space="preserve">Listed unit price</t>
  </si>
  <si>
    <t xml:space="preserve">Verify exact coil suffix and auxiliary contact</t>
  </si>
  <si>
    <t xml:space="preserve">Main safety contactor K2</t>
  </si>
  <si>
    <t xml:space="preserve">Second redundant propulsion isolation channel</t>
  </si>
  <si>
    <t xml:space="preserve">Use guided/monitored feedback architecture</t>
  </si>
  <si>
    <t xml:space="preserve">Precharge contactor/relay</t>
  </si>
  <si>
    <t xml:space="preserve">G7L-2A-TUBJ-CB DC24</t>
  </si>
  <si>
    <t xml:space="preserve">Omron</t>
  </si>
  <si>
    <t xml:space="preserve">24 VDC coil</t>
  </si>
  <si>
    <t xml:space="preserve">24 V discrete output</t>
  </si>
  <si>
    <t xml:space="preserve">PLC integrated DO; precharge branch</t>
  </si>
  <si>
    <t xml:space="preserve">Limits DC-link inrush</t>
  </si>
  <si>
    <t xml:space="preserve">Official CAD/drawing</t>
  </si>
  <si>
    <t xml:space="preserve">https://components.omron.com/us-en/products/relays/G7L</t>
  </si>
  <si>
    <t xml:space="preserve">AutomationCAD Thailand / Omron distributor</t>
  </si>
  <si>
    <t xml:space="preserve">https://www.automationcad.com/product/2448/relay-omron-g7l-2a-tub-%E0%B8%9E%E0%B8%B2%E0%B8%A7%E0%B9%80%E0%B8%A7%E0%B8%AD%E0%B8%A3%E0%B9%8C%E0%B8%A3%E0%B8%B5%E0%B9%80%E0%B8%A5%E0%B8%A2%E0%B9%8C-220vac</t>
  </si>
  <si>
    <t xml:space="preserve">495.00</t>
  </si>
  <si>
    <t xml:space="preserve">Reference series price; verify exact DC24 coil part</t>
  </si>
  <si>
    <t xml:space="preserve">Pair with calculated precharge resistor</t>
  </si>
  <si>
    <t xml:space="preserve">Precharge resistor</t>
  </si>
  <si>
    <t xml:space="preserve">HSC100 100R J</t>
  </si>
  <si>
    <t xml:space="preserve">ARCOL / Ohmite equivalent</t>
  </si>
  <si>
    <t xml:space="preserve">100 Ω, 100 W pulse-capable</t>
  </si>
  <si>
    <t xml:space="preserve">Across main contactor precharge path</t>
  </si>
  <si>
    <t xml:space="preserve">Limits capacitor charging current</t>
  </si>
  <si>
    <t xml:space="preserve">Official 3D CAD/drawing</t>
  </si>
  <si>
    <t xml:space="preserve">https://www.ohmite.com/hsc-series/</t>
  </si>
  <si>
    <t xml:space="preserve">Ohmite / ARCOL distributor</t>
  </si>
  <si>
    <t xml:space="preserve">Exact resistance and pulse rating must be recalculated</t>
  </si>
  <si>
    <t xml:space="preserve">Resistance/pulse energy must be recalculated from driver capacitance</t>
  </si>
  <si>
    <t xml:space="preserve">Safety controls</t>
  </si>
  <si>
    <t xml:space="preserve">Dual-channel emergency stop</t>
  </si>
  <si>
    <t xml:space="preserve">XB5AS8445</t>
  </si>
  <si>
    <t xml:space="preserve">Schneider Electric</t>
  </si>
  <si>
    <t xml:space="preserve">2 NC safety contacts; 22 mm</t>
  </si>
  <si>
    <t xml:space="preserve">Dual-channel dry contacts</t>
  </si>
  <si>
    <t xml:space="preserve">SM 1226 F-DI</t>
  </si>
  <si>
    <t xml:space="preserve">Emergency-stop input</t>
  </si>
  <si>
    <t xml:space="preserve">https://www.se.com/ww/en/product/XB5AS8445/</t>
  </si>
  <si>
    <t xml:space="preserve">https://th.misumi-ec.com/th/vona2/detail/222302146798/?HissuCode=XB5AS8445</t>
  </si>
  <si>
    <t xml:space="preserve">389.13</t>
  </si>
  <si>
    <t xml:space="preserve">Promotional price shown; verify current cart price</t>
  </si>
  <si>
    <t xml:space="preserve">One on each accessible side</t>
  </si>
  <si>
    <t xml:space="preserve">Safety reset pushbutton</t>
  </si>
  <si>
    <t xml:space="preserve">XB5AA31</t>
  </si>
  <si>
    <t xml:space="preserve">24 V control circuit</t>
  </si>
  <si>
    <t xml:space="preserve">Discrete 24 V input</t>
  </si>
  <si>
    <t xml:space="preserve">PLC integrated DI / F-DI as designed</t>
  </si>
  <si>
    <t xml:space="preserve">Manual reset acknowledgement</t>
  </si>
  <si>
    <t xml:space="preserve">https://www.se.com/ww/en/product/XB5AA31/</t>
  </si>
  <si>
    <t xml:space="preserve">Blue or illuminated version may be selected</t>
  </si>
  <si>
    <t xml:space="preserve">Keyed mode selector</t>
  </si>
  <si>
    <t xml:space="preserve">XB5AG33</t>
  </si>
  <si>
    <t xml:space="preserve">3-position maintained</t>
  </si>
  <si>
    <t xml:space="preserve">Discrete 24 V inputs</t>
  </si>
  <si>
    <t xml:space="preserve">PLC integrated DI</t>
  </si>
  <si>
    <t xml:space="preserve">Auto / Manual / Service mode selection</t>
  </si>
  <si>
    <t xml:space="preserve">https://www.se.com/ww/en/product/XB5AG33/</t>
  </si>
  <si>
    <t xml:space="preserve">https://th.misumi-ec.com/th/vona2/detail/222005697014/?HissuCode=XB5AA31</t>
  </si>
  <si>
    <t xml:space="preserve">179.12</t>
  </si>
  <si>
    <t xml:space="preserve">Promotional price shown</t>
  </si>
  <si>
    <t xml:space="preserve">Key removable position to be chosen</t>
  </si>
  <si>
    <t xml:space="preserve">Safety bumper edge</t>
  </si>
  <si>
    <t xml:space="preserve">SE-P40 series, exact length TBD</t>
  </si>
  <si>
    <t xml:space="preserve">Schmersal</t>
  </si>
  <si>
    <t xml:space="preserve">Dual-channel safety edge</t>
  </si>
  <si>
    <t xml:space="preserve">Dual-channel safety contact</t>
  </si>
  <si>
    <t xml:space="preserve">Contact protection around chassis</t>
  </si>
  <si>
    <t xml:space="preserve">Official CAD/drawings</t>
  </si>
  <si>
    <t xml:space="preserve">https://products.schmersal.com/en_US/safety-edges-1000006325.html</t>
  </si>
  <si>
    <t xml:space="preserve">https://th.misumi-ec.com/en/vona2/detail/222304492389/?HissuCode=XB5AG33</t>
  </si>
  <si>
    <t xml:space="preserve">527.07</t>
  </si>
  <si>
    <t xml:space="preserve">Promotional price shown; 60-day lead time</t>
  </si>
  <si>
    <t xml:space="preserve">Final profile length follows chassis CAD</t>
  </si>
  <si>
    <t xml:space="preserve">Status</t>
  </si>
  <si>
    <t xml:space="preserve">Modular signal tower</t>
  </si>
  <si>
    <t xml:space="preserve">LR6-302WJNW-RYG</t>
  </si>
  <si>
    <t xml:space="preserve">PATLITE</t>
  </si>
  <si>
    <t xml:space="preserve">PLC discrete outputs</t>
  </si>
  <si>
    <t xml:space="preserve">PLC integrated DO</t>
  </si>
  <si>
    <t xml:space="preserve">Visual operating-state indication</t>
  </si>
  <si>
    <t xml:space="preserve">https://www.patlite.com/product/detail0000000648.html</t>
  </si>
  <si>
    <t xml:space="preserve">Schmersal Thailand / authorised distributor</t>
  </si>
  <si>
    <t xml:space="preserve">Length-specific quotation required</t>
  </si>
  <si>
    <t xml:space="preserve">Red/yellow/green; add blue if desired</t>
  </si>
  <si>
    <t xml:space="preserve">Electronic sounder</t>
  </si>
  <si>
    <t xml:space="preserve">BKV-24</t>
  </si>
  <si>
    <t xml:space="preserve">PLC discrete output</t>
  </si>
  <si>
    <t xml:space="preserve">Movement/fault warning</t>
  </si>
  <si>
    <t xml:space="preserve">https://www.patlite.com/product/</t>
  </si>
  <si>
    <t xml:space="preserve">PATLITE Thailand / RS Thailand</t>
  </si>
  <si>
    <t xml:space="preserve">https://th.rs-online.com/web/p/signal-towers/1701789</t>
  </si>
  <si>
    <t xml:space="preserve">Exact LR6 colour/module configuration requires quote</t>
  </si>
  <si>
    <t xml:space="preserve">Exact tone/version may be adjusted</t>
  </si>
  <si>
    <t xml:space="preserve">Wireless</t>
  </si>
  <si>
    <t xml:space="preserve">Industrial Wi-Fi client/access point</t>
  </si>
  <si>
    <t xml:space="preserve">SCALANCE W774-1 RJ45 / exact regional variant</t>
  </si>
  <si>
    <t xml:space="preserve">Industrial WLAN + Ethernet</t>
  </si>
  <si>
    <t xml:space="preserve">SCALANCE switch; fleet network</t>
  </si>
  <si>
    <t xml:space="preserve">Non-safety fleet link</t>
  </si>
  <si>
    <t xml:space="preserve">https://www.siemens.com/global/en/products/automation/industrial-communication/industrial-wireless-lan/scalance-w.html</t>
  </si>
  <si>
    <t xml:space="preserve">https://mall.industry.siemens.com/mall/en/WW/Catalog/Products/10254145</t>
  </si>
  <si>
    <t xml:space="preserve">PATLITE Thailand</t>
  </si>
  <si>
    <t xml:space="preserve">https://www.patlite.co.th/</t>
  </si>
  <si>
    <t xml:space="preserve">Exact BKV-24 model availability should be confirmed</t>
  </si>
  <si>
    <t xml:space="preserve">Select Thailand radio approval variant</t>
  </si>
  <si>
    <t xml:space="preserve">Docking</t>
  </si>
  <si>
    <t xml:space="preserve">Dock presence photoelectric sensor</t>
  </si>
  <si>
    <t xml:space="preserve">E3Z-D62 2M</t>
  </si>
  <si>
    <t xml:space="preserve">12–24 VDC</t>
  </si>
  <si>
    <t xml:space="preserve">PNP discrete output</t>
  </si>
  <si>
    <t xml:space="preserve">Dock-confirmation input</t>
  </si>
  <si>
    <t xml:space="preserve">https://automation.omron.com/en/us/products/family/E3Z</t>
  </si>
  <si>
    <t xml:space="preserve">https://support.industry.siemens.com/cs/products/6gk5774-1fx00-0aa0/scalance-w774-1-rj45</t>
  </si>
  <si>
    <t xml:space="preserve">Select Thailand-approved radio variant before ordering</t>
  </si>
  <si>
    <t xml:space="preserve">Exact optical arrangement depends on dock</t>
  </si>
  <si>
    <t xml:space="preserve">Charging contact set</t>
  </si>
  <si>
    <t xml:space="preserve">ROBOFIX / exact current class TBD</t>
  </si>
  <si>
    <t xml:space="preserve">SCHUNK</t>
  </si>
  <si>
    <t xml:space="preserve">Match charger current</t>
  </si>
  <si>
    <t xml:space="preserve">Power contacts + optional pilot contacts</t>
  </si>
  <si>
    <t xml:space="preserve">Battery charger; PLC</t>
  </si>
  <si>
    <t xml:space="preserve">Automatic charging interface</t>
  </si>
  <si>
    <t xml:space="preserve">https://schunk.com/us/en/automation-technology/components-for-mobile-robots/robofix/c/PGR_7046</t>
  </si>
  <si>
    <t xml:space="preserve">MISUMI Thailand / Omron distributor</t>
  </si>
  <si>
    <t xml:space="preserve">https://th.misumi-ec.com/th/vona2/detail/221000398342/?HissuCode=E3Z-D61+2M</t>
  </si>
  <si>
    <t xml:space="preserve">2,597.62</t>
  </si>
  <si>
    <t xml:space="preserve">Closest listed E3Z-D61; verify exact PNP/NPN model required</t>
  </si>
  <si>
    <t xml:space="preserve">Select current and mechanical stroke after charger choice</t>
  </si>
  <si>
    <t xml:space="preserve">Thermal</t>
  </si>
  <si>
    <t xml:space="preserve">Cabinet filter fan</t>
  </si>
  <si>
    <t xml:space="preserve">SK 3237.100 or suitable size</t>
  </si>
  <si>
    <t xml:space="preserve">Rittal</t>
  </si>
  <si>
    <t xml:space="preserve">24 VDC fan variant</t>
  </si>
  <si>
    <t xml:space="preserve">Thermostat-switched 24 V</t>
  </si>
  <si>
    <t xml:space="preserve">24 V auxiliary rail</t>
  </si>
  <si>
    <t xml:space="preserve">Cabinet cooling</t>
  </si>
  <si>
    <t xml:space="preserve">https://www.rittal.com/com-en/products/PG0168KLIMA1/PG0169KLIMA1/PRO13213</t>
  </si>
  <si>
    <t xml:space="preserve">SCHUNK Thailand</t>
  </si>
  <si>
    <t xml:space="preserve">Current class and contact geometry require quotation</t>
  </si>
  <si>
    <t xml:space="preserve">Size after enclosure thermal calculation</t>
  </si>
  <si>
    <t xml:space="preserve">Cabinet thermostat</t>
  </si>
  <si>
    <t xml:space="preserve">SK 3110.000</t>
  </si>
  <si>
    <t xml:space="preserve">24 V control</t>
  </si>
  <si>
    <t xml:space="preserve">Dry contact</t>
  </si>
  <si>
    <t xml:space="preserve">Cooling fan / PLC DI</t>
  </si>
  <si>
    <t xml:space="preserve">Temperature-controlled ventilation</t>
  </si>
  <si>
    <t xml:space="preserve">https://www.rittal.com/com-en/products/PG0168KLIMA1/PG0200KLIMA1/PRO12018</t>
  </si>
  <si>
    <t xml:space="preserve">Rittal Thailand</t>
  </si>
  <si>
    <t xml:space="preserve">https://www.rittal.com/th-th/products/PG0168KLIMA1/PG0169KLIMA1/PRO13213</t>
  </si>
  <si>
    <t xml:space="preserve">Size-dependent local quotation</t>
  </si>
  <si>
    <t xml:space="preserve">Mechanical thermostat</t>
  </si>
  <si>
    <t xml:space="preserve">Mechanical</t>
  </si>
  <si>
    <t xml:space="preserve">Heavy-duty swivel caster</t>
  </si>
  <si>
    <t xml:space="preserve">LEVINA 5370PJP100P62</t>
  </si>
  <si>
    <t xml:space="preserve">TENTE</t>
  </si>
  <si>
    <t xml:space="preserve">Load rating per caster datasheet</t>
  </si>
  <si>
    <t xml:space="preserve">Chassis</t>
  </si>
  <si>
    <t xml:space="preserve">Passive support wheel</t>
  </si>
  <si>
    <t xml:space="preserve">https://www.tente.com/en-us/products/levina/</t>
  </si>
  <si>
    <t xml:space="preserve">https://www.rittal.com/th-th/products/PG0168KLIMA1/PG0200KLIMA1/PRO12018</t>
  </si>
  <si>
    <t xml:space="preserve">Local quotation</t>
  </si>
  <si>
    <t xml:space="preserve">Four casters confirmed; dimensions, swivel geometry, load distribution, and floor suitability require verification</t>
  </si>
  <si>
    <t xml:space="preserve">Electrical enclosure</t>
  </si>
  <si>
    <t xml:space="preserve">AE series, size TBD</t>
  </si>
  <si>
    <t xml:space="preserve">Industrial enclosure; IP rating as required</t>
  </si>
  <si>
    <t xml:space="preserve">All DIN-rail electrical components</t>
  </si>
  <si>
    <t xml:space="preserve">Physical protection</t>
  </si>
  <si>
    <t xml:space="preserve">https://www.rittal.com/com-en/products/PG0002SCHRANK1/PG0021SCHRANK1</t>
  </si>
  <si>
    <t xml:space="preserve">TENTE Thailand / distributor</t>
  </si>
  <si>
    <t xml:space="preserve">Final caster load rating and wheel size required</t>
  </si>
  <si>
    <t xml:space="preserve">Select after layout study</t>
  </si>
  <si>
    <t xml:space="preserve">DIN rail and equipment mounting plate</t>
  </si>
  <si>
    <t xml:space="preserve">NS 35/7.5 + mounting plate</t>
  </si>
  <si>
    <t xml:space="preserve">Phoenix Contact / Rittal</t>
  </si>
  <si>
    <t xml:space="preserve">35 mm DIN rail</t>
  </si>
  <si>
    <t xml:space="preserve">PLC, switch, DC/DC, relays</t>
  </si>
  <si>
    <t xml:space="preserve">Mounting infrastructure</t>
  </si>
  <si>
    <t xml:space="preserve">https://www.phoenixcontact.com/en-us/products/din-rails</t>
  </si>
  <si>
    <t xml:space="preserve">https://www.rittal.com/th-th/products/PG0002SCHRANK1/PG0021SCHRANK1</t>
  </si>
  <si>
    <t xml:space="preserve">Enclosure size must follow final layout</t>
  </si>
  <si>
    <t xml:space="preserve">Included as one simulation-level assembly item</t>
  </si>
  <si>
    <t xml:space="preserve">Conceptual Future Physical AMR Power Budget</t>
  </si>
  <si>
    <t xml:space="preserve">Reference sizing only • Current project is laptop-based simulation with no physical power system</t>
  </si>
  <si>
    <t xml:space="preserve">Rail</t>
  </si>
  <si>
    <t xml:space="preserve">Load Group</t>
  </si>
  <si>
    <t xml:space="preserve">Source Rows</t>
  </si>
  <si>
    <t xml:space="preserve">Calculated Load (W)</t>
  </si>
  <si>
    <t xml:space="preserve">Design Margin</t>
  </si>
  <si>
    <t xml:space="preserve">Required Capacity (W)</t>
  </si>
  <si>
    <t xml:space="preserve">Selected Supply</t>
  </si>
  <si>
    <t xml:space="preserve">Selected Capacity (W)</t>
  </si>
  <si>
    <t xml:space="preserve">Headroom (W)</t>
  </si>
  <si>
    <t xml:space="preserve">Key Calculated Totals</t>
  </si>
  <si>
    <t xml:space="preserve">24 V</t>
  </si>
  <si>
    <t xml:space="preserve">Safety + PLC + networking + MRS1000 sensors</t>
  </si>
  <si>
    <t xml:space="preserve">Verified current 24 V component loads</t>
  </si>
  <si>
    <t xml:space="preserve">MEAN WELL DDR-240C-24</t>
  </si>
  <si>
    <t xml:space="preserve">Provisional OK with 25% margin; recheck final variants and accessories</t>
  </si>
  <si>
    <t xml:space="preserve">24 V calculated load</t>
  </si>
  <si>
    <t xml:space="preserve">W</t>
  </si>
  <si>
    <t xml:space="preserve">12 V</t>
  </si>
  <si>
    <t xml:space="preserve">Jetson compute rail</t>
  </si>
  <si>
    <t xml:space="preserve">MEAN WELL DDR-60L-12</t>
  </si>
  <si>
    <t xml:space="preserve">24 V required with margin</t>
  </si>
  <si>
    <t xml:space="preserve">Traction bus</t>
  </si>
  <si>
    <t xml:space="preserve">Hub motors + motor driver</t>
  </si>
  <si>
    <t xml:space="preserve">2–4</t>
  </si>
  <si>
    <t xml:space="preserve">Battery direct to ZLAC8030D</t>
  </si>
  <si>
    <t xml:space="preserve">Voltage compatibility deferred</t>
  </si>
  <si>
    <t xml:space="preserve">12 V calculated load</t>
  </si>
  <si>
    <t xml:space="preserve">Traction rated load</t>
  </si>
  <si>
    <t xml:space="preserve">Stored battery energy</t>
  </si>
  <si>
    <t xml:space="preserve">Wh</t>
  </si>
  <si>
    <t xml:space="preserve">AMR Communication Matrix</t>
  </si>
  <si>
    <t xml:space="preserve">Conceptual physical interfaces and simulated authority/data paths • No current hardware</t>
  </si>
  <si>
    <t xml:space="preserve">From</t>
  </si>
  <si>
    <t xml:space="preserve">To</t>
  </si>
  <si>
    <t xml:space="preserve">Physical Interface</t>
  </si>
  <si>
    <t xml:space="preserve">Protocol</t>
  </si>
  <si>
    <t xml:space="preserve">Primary Data</t>
  </si>
  <si>
    <t xml:space="preserve">Safety-Critical?</t>
  </si>
  <si>
    <t xml:space="preserve">Gateway / Adapter</t>
  </si>
  <si>
    <t xml:space="preserve">Verified Compatibility</t>
  </si>
  <si>
    <t xml:space="preserve">S7-1200F</t>
  </si>
  <si>
    <t xml:space="preserve">Ethernet via SCALANCE</t>
  </si>
  <si>
    <t xml:space="preserve">OPC UA / S7 TCP / Modbus TCP (choose one)</t>
  </si>
  <si>
    <t xml:space="preserve">Robot state, mission state, heartbeat, faults</t>
  </si>
  <si>
    <t xml:space="preserve">No safety commands</t>
  </si>
  <si>
    <t xml:space="preserve">Yes at Ethernet level</t>
  </si>
  <si>
    <t xml:space="preserve">PLC keeps final drive-permission authority</t>
  </si>
  <si>
    <t xml:space="preserve">MRS1104C-111011 front</t>
  </si>
  <si>
    <t xml:space="preserve">SICK CoLa over TCP/IP; ROS 2 driver TBD</t>
  </si>
  <si>
    <t xml:space="preserve">Multi-layer LiDAR data for SLAM/navigation/costmaps</t>
  </si>
  <si>
    <t xml:space="preserve">No; not safety-rated for personnel protection</t>
  </si>
  <si>
    <t xml:space="preserve">Official interface verified; ROS integration not bench-validated</t>
  </si>
  <si>
    <t xml:space="preserve">Front-left mounting concept; exact pose and ROS 2 driver configuration TBD</t>
  </si>
  <si>
    <t xml:space="preserve">MRS1104C-111011 rear</t>
  </si>
  <si>
    <t xml:space="preserve">Rear-right mounting concept; exact pose and ROS 2 driver configuration TBD</t>
  </si>
  <si>
    <t xml:space="preserve">Xsens MTi-8</t>
  </si>
  <si>
    <t xml:space="preserve">USB 2.0</t>
  </si>
  <si>
    <t xml:space="preserve">Xsens MTData2 / XDA</t>
  </si>
  <si>
    <t xml:space="preserve">IMU orientation, angular rate, acceleration</t>
  </si>
  <si>
    <t xml:space="preserve">No</t>
  </si>
  <si>
    <t xml:space="preserve">USB cable</t>
  </si>
  <si>
    <t xml:space="preserve">Yes</t>
  </si>
  <si>
    <t xml:space="preserve">ROS 2 Xsens driver required</t>
  </si>
  <si>
    <t xml:space="preserve">USB-to-CAN</t>
  </si>
  <si>
    <t xml:space="preserve">CANopen CiA 301 / CiA 402</t>
  </si>
  <si>
    <t xml:space="preserve">Wheel velocity commands, encoder feedback, faults</t>
  </si>
  <si>
    <t xml:space="preserve">No; safety handled separately</t>
  </si>
  <si>
    <t xml:space="preserve">PEAK PCAN-USB Pro FD</t>
  </si>
  <si>
    <t xml:space="preserve">Jetson is sole motion-command master</t>
  </si>
  <si>
    <t xml:space="preserve">Left hub motor</t>
  </si>
  <si>
    <t xml:space="preserve">Motor phases + encoder harness</t>
  </si>
  <si>
    <t xml:space="preserve">Vendor motor/encoder interface</t>
  </si>
  <si>
    <t xml:space="preserve">Torque and feedback</t>
  </si>
  <si>
    <t xml:space="preserve">No certified safety</t>
  </si>
  <si>
    <t xml:space="preserve">Direct harness</t>
  </si>
  <si>
    <t xml:space="preserve">Yes by matched ZLTECH family</t>
  </si>
  <si>
    <t xml:space="preserve">Verify exact connector pinout</t>
  </si>
  <si>
    <t xml:space="preserve">Right hub motor</t>
  </si>
  <si>
    <t xml:space="preserve">S7-1200F F-DQ</t>
  </si>
  <si>
    <t xml:space="preserve">Safety contactors K1/K2</t>
  </si>
  <si>
    <t xml:space="preserve">24 V hardwired</t>
  </si>
  <si>
    <t xml:space="preserve">Dual-channel safe outputs</t>
  </si>
  <si>
    <t xml:space="preserve">Remove drive-bus energy</t>
  </si>
  <si>
    <t xml:space="preserve">Interposing interface only if coil current requires</t>
  </si>
  <si>
    <t xml:space="preserve">Yes conceptually</t>
  </si>
  <si>
    <t xml:space="preserve">Validate safety architecture and feedback monitoring</t>
  </si>
  <si>
    <t xml:space="preserve">E-stops / bumper</t>
  </si>
  <si>
    <t xml:space="preserve">S7-1200F F-DI</t>
  </si>
  <si>
    <t xml:space="preserve">24 V hardwired dual-channel</t>
  </si>
  <si>
    <t xml:space="preserve">Fail-safe digital inputs</t>
  </si>
  <si>
    <t xml:space="preserve">Emergency stop and contact protection</t>
  </si>
  <si>
    <t xml:space="preserve">Use test pulses/approved wiring</t>
  </si>
  <si>
    <t xml:space="preserve">HMI KTP700</t>
  </si>
  <si>
    <t xml:space="preserve">PROFINET</t>
  </si>
  <si>
    <t xml:space="preserve">Operator commands, alarms, diagnostics</t>
  </si>
  <si>
    <t xml:space="preserve">Safety reset must follow validated logic</t>
  </si>
  <si>
    <t xml:space="preserve">Wi-Fi client</t>
  </si>
  <si>
    <t xml:space="preserve">Jetson / fleet server</t>
  </si>
  <si>
    <t xml:space="preserve">Ethernet + WLAN</t>
  </si>
  <si>
    <t xml:space="preserve">TCP/IP / ROS 2 DDS through controlled network</t>
  </si>
  <si>
    <t xml:space="preserve">Fleet missions and telemetry</t>
  </si>
  <si>
    <t xml:space="preserve">SCALANCE W client</t>
  </si>
  <si>
    <t xml:space="preserve">Do not place safety functions on Wi-Fi</t>
  </si>
  <si>
    <t xml:space="preserve">Battery BMS</t>
  </si>
  <si>
    <t xml:space="preserve">Jetson or PLC</t>
  </si>
  <si>
    <t xml:space="preserve">CAN or RS-485</t>
  </si>
  <si>
    <t xml:space="preserve">Vendor-specific</t>
  </si>
  <si>
    <t xml:space="preserve">SOC, pack alarms, temperatures</t>
  </si>
  <si>
    <t xml:space="preserve">No unless separately certified</t>
  </si>
  <si>
    <t xml:space="preserve">May require isolated gateway</t>
  </si>
  <si>
    <t xml:space="preserve">Unconfirmed by user-supplied model</t>
  </si>
  <si>
    <t xml:space="preserve">Battery/BMS intentionally treated as supplied</t>
  </si>
  <si>
    <t xml:space="preserve">Charger</t>
  </si>
  <si>
    <t xml:space="preserve">PLC</t>
  </si>
  <si>
    <t xml:space="preserve">Dry contact / CAN / RS-485</t>
  </si>
  <si>
    <t xml:space="preserve">Ready, charging, fault, enable</t>
  </si>
  <si>
    <t xml:space="preserve">Charging interlock only</t>
  </si>
  <si>
    <t xml:space="preserve">Depends on charger</t>
  </si>
  <si>
    <t xml:space="preserve">Unconfirmed</t>
  </si>
  <si>
    <t xml:space="preserve">Exact charger TBD</t>
  </si>
  <si>
    <t xml:space="preserve">SCALANCE XC216</t>
  </si>
  <si>
    <t xml:space="preserve">All Ethernet devices</t>
  </si>
  <si>
    <t xml:space="preserve">16× RJ45 10/100</t>
  </si>
  <si>
    <t xml:space="preserve">Ethernet, PROFINET, SNMP, VLAN/RSTP</t>
  </si>
  <si>
    <t xml:space="preserve">Network transport and diagnostics</t>
  </si>
  <si>
    <t xml:space="preserve">Transports PROFIsafe but does not execute safety</t>
  </si>
  <si>
    <t xml:space="preserve">100 Mbps is sufficient for listed devices</t>
  </si>
  <si>
    <t xml:space="preserve">Industrial AMR Conceptual BOM — Simulation-Only Academic Project</t>
  </si>
  <si>
    <t xml:space="preserve">Topic</t>
  </si>
  <si>
    <t xml:space="preserve">Decision</t>
  </si>
  <si>
    <t xml:space="preserve">Reason</t>
  </si>
  <si>
    <t xml:space="preserve">Open item</t>
  </si>
  <si>
    <t xml:space="preserve">Owner</t>
  </si>
  <si>
    <t xml:space="preserve">Priority</t>
  </si>
  <si>
    <t xml:space="preserve">CPU 1214FC + SM1226 F-DI + SM1226 F-DQ</t>
  </si>
  <si>
    <t xml:space="preserve">Emergency stops, bumper, interlocks, and monitored shutdown require fail-safe processing</t>
  </si>
  <si>
    <t xml:space="preserve">Safety program and PL/SIL validation</t>
  </si>
  <si>
    <t xml:space="preserve">Controls</t>
  </si>
  <si>
    <t xml:space="preserve">High</t>
  </si>
  <si>
    <t xml:space="preserve">Standard PLC I/O</t>
  </si>
  <si>
    <t xml:space="preserve">No normal extension module</t>
  </si>
  <si>
    <t xml:space="preserve">CPU onboard I/O expected to cover non-safety buttons, indicators, dock and fan</t>
  </si>
  <si>
    <t xml:space="preserve">Final I/O count during electrical design</t>
  </si>
  <si>
    <t xml:space="preserve">Medium</t>
  </si>
  <si>
    <t xml:space="preserve">Perception LiDARs</t>
  </si>
  <si>
    <t xml:space="preserve">2× SICK MRS1104C-111011 / 1081208</t>
  </si>
  <si>
    <t xml:space="preserve">Frozen perception architecture for SLAM, navigation, and costmaps</t>
  </si>
  <si>
    <t xml:space="preserve">Firmware, ROS 2 driver configuration, IP plan, time synchronization, and six-degree-of-freedom poses</t>
  </si>
  <si>
    <t xml:space="preserve">Perception</t>
  </si>
  <si>
    <t xml:space="preserve">Motor control</t>
  </si>
  <si>
    <t xml:space="preserve">1× ZLAC8030D dual-axis</t>
  </si>
  <si>
    <t xml:space="preserve">Matched ZLTECH motor family; CANopen/RS-485</t>
  </si>
  <si>
    <t xml:space="preserve">Voltage/regeneration deliberately deferred</t>
  </si>
  <si>
    <t xml:space="preserve">Ethernet</t>
  </si>
  <si>
    <t xml:space="preserve">SCALANCE XC216 managed 16-port switch</t>
  </si>
  <si>
    <t xml:space="preserve">Candidate port count for PLC, Jetson, two LiDARs, HMI, Wi-Fi, and service access</t>
  </si>
  <si>
    <t xml:space="preserve">IP plan, VLANs, PROFINET naming</t>
  </si>
  <si>
    <t xml:space="preserve">Network</t>
  </si>
  <si>
    <t xml:space="preserve">24 V power</t>
  </si>
  <si>
    <t xml:space="preserve">DDR-240C-24 selected</t>
  </si>
  <si>
    <t xml:space="preserve">Current verified 24 V loads total 174 W; 25% design margin requires 217.5 W</t>
  </si>
  <si>
    <t xml:space="preserve">22.5 W residual headroom; recheck exact HMI, Wi-Fi, fan, accessories, wiring losses, and simultaneous load states</t>
  </si>
  <si>
    <t xml:space="preserve">Electrical</t>
  </si>
  <si>
    <t xml:space="preserve">12 V power</t>
  </si>
  <si>
    <t xml:space="preserve">DDR-60L-12 selected</t>
  </si>
  <si>
    <t xml:space="preserve">Dedicated 60 W rail for Jetson</t>
  </si>
  <si>
    <t xml:space="preserve">Confirm USB peripheral load</t>
  </si>
  <si>
    <t xml:space="preserve">Battery/BMS</t>
  </si>
  <si>
    <t xml:space="preserve">User explicitly requested to stop blocking BOM on battery details</t>
  </si>
  <si>
    <t xml:space="preserve">Only mechanical envelope/CAD needed for final assembly</t>
  </si>
  <si>
    <t xml:space="preserve">Low</t>
  </si>
  <si>
    <t xml:space="preserve">CAD</t>
  </si>
  <si>
    <t xml:space="preserve">Official manufacturer CAD where available</t>
  </si>
  <si>
    <t xml:space="preserve">Needed for simulation assembly</t>
  </si>
  <si>
    <t xml:space="preserve">Some user-supplied/TBD items may need simplified CAD</t>
  </si>
  <si>
    <t xml:space="preserve">CAD links</t>
  </si>
  <si>
    <t xml:space="preserve">Clickable datasheet and CAD/model-page links added to the Full BOM</t>
  </si>
  <si>
    <t xml:space="preserve">Makes manufacturer drawings and 3D model pages easier to open</t>
  </si>
  <si>
    <t xml:space="preserve">Some suppliers provide a model page rather than a direct STEP file</t>
  </si>
  <si>
    <t xml:space="preserve">Current scope</t>
  </si>
  <si>
    <t xml:space="preserve">Laptop-based ROS 2 Humble + Gazebo Harmonic simulation</t>
  </si>
  <si>
    <t xml:space="preserve">No physical procurement, installation, commissioning, or certification</t>
  </si>
  <si>
    <t xml:space="preserve">Install and validate Gazebo Harmonic in the software setup phase</t>
  </si>
  <si>
    <t xml:space="preserve">Software</t>
  </si>
  <si>
    <t xml:space="preserve">Physical hardware</t>
  </si>
  <si>
    <t xml:space="preserve">BOM items retained as future implementation candidates</t>
  </si>
  <si>
    <t xml:space="preserve">Keeps simulation parameters traceable to realistic industrial hardware</t>
  </si>
  <si>
    <t xml:space="preserve">Reverify every exact model before any future purchase</t>
  </si>
  <si>
    <t xml:space="preserve">Systems</t>
  </si>
  <si>
    <t xml:space="preserve">Safety compliance</t>
  </si>
  <si>
    <t xml:space="preserve">No PL/SIL claim; provisional PL d Category 3 concept only</t>
  </si>
  <si>
    <t xml:space="preserve">Academic simulation cannot validate physical functional safety</t>
  </si>
  <si>
    <t xml:space="preserve">Future risk assessment and competent formal validation required</t>
  </si>
  <si>
    <t xml:space="preserve">Safety</t>
  </si>
  <si>
    <t xml:space="preserve">Conceptual Procurement Reference — No Current Purchasing</t>
  </si>
  <si>
    <t xml:space="preserve">Metric</t>
  </si>
  <si>
    <t xml:space="preserve">Value</t>
  </si>
  <si>
    <t xml:space="preserve">Rows with Thailand THB price</t>
  </si>
  <si>
    <t xml:space="preserve">Rows requiring RFQ/TBD</t>
  </si>
  <si>
    <t xml:space="preserve">Known THB subtotal</t>
  </si>
  <si>
    <t xml:space="preserve">Price check date</t>
  </si>
  <si>
    <t xml:space="preserve">2026-07-24 architecture update; prices not rechecked</t>
  </si>
  <si>
    <t xml:space="preserve">Preferred order</t>
  </si>
  <si>
    <t xml:space="preserve">Thailand vendor → MISUMI → RS → authorised distributor → international</t>
  </si>
  <si>
    <t xml:space="preserve">VAT / shipping</t>
  </si>
  <si>
    <t xml:space="preserve">Prices are mixed: some exclude VAT and most exclude shipping</t>
  </si>
  <si>
    <t xml:space="preserve">Important</t>
  </si>
  <si>
    <t xml:space="preserve">Simulation-only project; supplier/price realignment deferred. Revalidate all entries before any future purchase.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</si>
</sst>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.00"/>
    <numFmt numFmtId="167" formatCode="yyyy\-mm\-dd"/>
    <numFmt numFmtId="168" formatCode="@"/>
    <numFmt numFmtId="169" formatCode="0%"/>
    <numFmt numFmtId="170" formatCode="#,##0.00&quot; THB&quot;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F1F1F"/>
      <name val="Calibri"/>
      <family val="0"/>
      <charset val="1"/>
    </font>
    <font>
      <sz val="11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0563C1"/>
      <name val="Calibri"/>
      <family val="0"/>
      <charset val="1"/>
    </font>
    <font>
      <b val="true"/>
      <sz val="9"/>
      <color rgb="FF0563C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6324F"/>
        <bgColor rgb="FF1F1F1F"/>
      </patternFill>
    </fill>
    <fill>
      <patternFill patternType="solid">
        <fgColor rgb="FFDCE6F1"/>
        <bgColor rgb="FFD9E2F3"/>
      </patternFill>
    </fill>
    <fill>
      <patternFill patternType="solid">
        <fgColor rgb="FF2F75B5"/>
        <bgColor rgb="FF0563C1"/>
      </patternFill>
    </fill>
    <fill>
      <patternFill patternType="solid">
        <fgColor rgb="FFEAF2F8"/>
        <bgColor rgb="FFEBF5FB"/>
      </patternFill>
    </fill>
    <fill>
      <patternFill patternType="solid">
        <fgColor rgb="FFFDEDEC"/>
        <bgColor rgb="FFFDF2E9"/>
      </patternFill>
    </fill>
    <fill>
      <patternFill patternType="solid">
        <fgColor rgb="FFE8F8F5"/>
        <bgColor rgb="FFE8F6F3"/>
      </patternFill>
    </fill>
    <fill>
      <patternFill patternType="solid">
        <fgColor rgb="FFEBF5FB"/>
        <bgColor rgb="FFEAF2F8"/>
      </patternFill>
    </fill>
    <fill>
      <patternFill patternType="solid">
        <fgColor rgb="FFF4ECF7"/>
        <bgColor rgb="FFF5EEF8"/>
      </patternFill>
    </fill>
    <fill>
      <patternFill patternType="solid">
        <fgColor rgb="FFFCF3CF"/>
        <bgColor rgb="FFFFF2CC"/>
      </patternFill>
    </fill>
    <fill>
      <patternFill patternType="solid">
        <fgColor rgb="FFFEF9E7"/>
        <bgColor rgb="FFFDF2E9"/>
      </patternFill>
    </fill>
    <fill>
      <patternFill patternType="solid">
        <fgColor rgb="FFFDEBD0"/>
        <bgColor rgb="FFFFF2CC"/>
      </patternFill>
    </fill>
    <fill>
      <patternFill patternType="solid">
        <fgColor rgb="FFFDF2E9"/>
        <bgColor rgb="FFFDEDEC"/>
      </patternFill>
    </fill>
    <fill>
      <patternFill patternType="solid">
        <fgColor rgb="FFFADBD8"/>
        <bgColor rgb="FFFCE4D6"/>
      </patternFill>
    </fill>
    <fill>
      <patternFill patternType="solid">
        <fgColor rgb="FFF5EEF8"/>
        <bgColor rgb="FFF4ECF7"/>
      </patternFill>
    </fill>
    <fill>
      <patternFill patternType="solid">
        <fgColor rgb="FFEBDEF0"/>
        <bgColor rgb="FFDCE6F1"/>
      </patternFill>
    </fill>
    <fill>
      <patternFill patternType="solid">
        <fgColor rgb="FFE8F6F3"/>
        <bgColor rgb="FFE8F8F5"/>
      </patternFill>
    </fill>
    <fill>
      <patternFill patternType="solid">
        <fgColor rgb="FFF2F3F4"/>
        <bgColor rgb="FFF5EEF8"/>
      </patternFill>
    </fill>
    <fill>
      <patternFill patternType="solid">
        <fgColor rgb="FFF8F9F9"/>
        <bgColor rgb="FFF8FBFD"/>
      </patternFill>
    </fill>
    <fill>
      <patternFill patternType="solid">
        <fgColor rgb="FFF8FBFD"/>
        <bgColor rgb="FFF8F9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hair">
        <color rgb="FFD9D9D9"/>
      </bottom>
      <diagonal/>
    </border>
    <border diagonalUp="false" diagonalDown="false">
      <left/>
      <right/>
      <top/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5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6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6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7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0" fillId="7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7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7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4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8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8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9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9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0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0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0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1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1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1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1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1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2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2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2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3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3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3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4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4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4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4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4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5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5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5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5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6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6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6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6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7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7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7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7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7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8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8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1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8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18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0" fillId="18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9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1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9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9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0" fillId="19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1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1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9" borderId="4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9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9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9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9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9" borderId="4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19" borderId="4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8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8">
    <dxf>
      <fill>
        <patternFill patternType="solid">
          <fgColor rgb="FF2F75B5"/>
        </patternFill>
      </fill>
    </dxf>
    <dxf>
      <fill>
        <patternFill patternType="solid">
          <fgColor rgb="FFE8F6F3"/>
        </patternFill>
      </fill>
    </dxf>
    <dxf>
      <fill>
        <patternFill patternType="solid">
          <fgColor rgb="FFE8F8F5"/>
        </patternFill>
      </fill>
    </dxf>
    <dxf>
      <fill>
        <patternFill patternType="solid">
          <fgColor rgb="FFEAF2F8"/>
        </patternFill>
      </fill>
    </dxf>
    <dxf>
      <fill>
        <patternFill patternType="solid">
          <fgColor rgb="FFEBDEF0"/>
        </patternFill>
      </fill>
    </dxf>
    <dxf>
      <fill>
        <patternFill patternType="solid">
          <fgColor rgb="FFEBF5FB"/>
        </patternFill>
      </fill>
    </dxf>
    <dxf>
      <fill>
        <patternFill patternType="solid">
          <fgColor rgb="FFF2F3F4"/>
        </patternFill>
      </fill>
    </dxf>
    <dxf>
      <fill>
        <patternFill patternType="solid">
          <fgColor rgb="FFF4ECF7"/>
        </patternFill>
      </fill>
    </dxf>
    <dxf>
      <fill>
        <patternFill patternType="solid">
          <fgColor rgb="FFF5EEF8"/>
        </patternFill>
      </fill>
    </dxf>
    <dxf>
      <fill>
        <patternFill patternType="solid">
          <fgColor rgb="FFF8F9F9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FDEDEC"/>
        </patternFill>
      </fill>
    </dxf>
    <dxf>
      <fill>
        <patternFill patternType="solid">
          <fgColor rgb="FFFDF2E9"/>
        </patternFill>
      </fill>
    </dxf>
    <dxf>
      <fill>
        <patternFill patternType="solid">
          <fgColor rgb="FFFEF9E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7F6000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006100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8FBF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9C000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F2F3F4"/>
      <rgbColor rgb="FF9C0006"/>
      <rgbColor rgb="FF006100"/>
      <rgbColor rgb="FF000080"/>
      <rgbColor rgb="FF7F6000"/>
      <rgbColor rgb="FF800080"/>
      <rgbColor rgb="FF008080"/>
      <rgbColor rgb="FFC6E0B4"/>
      <rgbColor rgb="FFF5EEF8"/>
      <rgbColor rgb="FFDCE6F1"/>
      <rgbColor rgb="FF993366"/>
      <rgbColor rgb="FFFCF3CF"/>
      <rgbColor rgb="FFE8F8F5"/>
      <rgbColor rgb="FF660066"/>
      <rgbColor rgb="FFFDEDEC"/>
      <rgbColor rgb="FF0563C1"/>
      <rgbColor rgb="FFD9D9D9"/>
      <rgbColor rgb="FF000080"/>
      <rgbColor rgb="FFFF00FF"/>
      <rgbColor rgb="FFFCE4D6"/>
      <rgbColor rgb="FFF8FBFD"/>
      <rgbColor rgb="FF800080"/>
      <rgbColor rgb="FF800000"/>
      <rgbColor rgb="FF008080"/>
      <rgbColor rgb="FF0000FF"/>
      <rgbColor rgb="FF00CCFF"/>
      <rgbColor rgb="FFE8F6F3"/>
      <rgbColor rgb="FFE2F0D9"/>
      <rgbColor rgb="FFFFF2CC"/>
      <rgbColor rgb="FFD9E2F3"/>
      <rgbColor rgb="FFFFC7CE"/>
      <rgbColor rgb="FFEBDEF0"/>
      <rgbColor rgb="FFF4CCCC"/>
      <rgbColor rgb="FF2F75B5"/>
      <rgbColor rgb="FFEBF5FB"/>
      <rgbColor rgb="FFEAF2F8"/>
      <rgbColor rgb="FFFADBD8"/>
      <rgbColor rgb="FFFDF2E9"/>
      <rgbColor rgb="FFFEF9E7"/>
      <rgbColor rgb="FF666699"/>
      <rgbColor rgb="FFF4ECF7"/>
      <rgbColor rgb="FF16324F"/>
      <rgbColor rgb="FFF8F9F9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MRCommReadable" displayName="AMRCommReadable" ref="A4:I18" headerRowCount="1" totalsRowCount="0" totalsRowShown="0">
  <tableColumns count="9">
    <tableColumn id="1" name="From"/>
    <tableColumn id="2" name="To"/>
    <tableColumn id="3" name="Physical Interface"/>
    <tableColumn id="4" name="Protocol"/>
    <tableColumn id="5" name="Primary Data"/>
    <tableColumn id="6" name="Safety-Critical?"/>
    <tableColumn id="7" name="Gateway / Adapter"/>
    <tableColumn id="8" name="Verified Compatibility"/>
    <tableColumn id="9" name="Notes"/>
  </tableColumns>
</table>
</file>

<file path=xl/tables/table2.xml><?xml version="1.0" encoding="utf-8"?>
<table xmlns="http://schemas.openxmlformats.org/spreadsheetml/2006/main" id="2" name="AMRProcurementBOM" displayName="AMRProcurementBOM" ref="A4:X42" headerRowCount="1" totalsRowCount="0" totalsRowShown="0">
  <tableColumns count="24">
    <tableColumn id="1" name="No."/>
    <tableColumn id="2" name="Category"/>
    <tableColumn id="3" name="Component"/>
    <tableColumn id="4" name="Part No."/>
    <tableColumn id="5" name="Brand"/>
    <tableColumn id="6" name="Qty"/>
    <tableColumn id="7" name="Supply / Rating"/>
    <tableColumn id="8" name="Unit Power"/>
    <tableColumn id="9" name="Total Power"/>
    <tableColumn id="10" name="Communication"/>
    <tableColumn id="11" name="Connects To"/>
    <tableColumn id="12" name="Safety Role"/>
    <tableColumn id="13" name="CAD Availability"/>
    <tableColumn id="14" name="Datasheet Link"/>
    <tableColumn id="15" name="CAD Link"/>
    <tableColumn id="16" name="Preferred Supplier"/>
    <tableColumn id="17" name="Shop Link"/>
    <tableColumn id="18" name="Listed Price"/>
    <tableColumn id="19" name="Currency"/>
    <tableColumn id="20" name="Price / Availability Status"/>
    <tableColumn id="21" name="Checked"/>
    <tableColumn id="22" name="Notes"/>
    <tableColumn id="23" name="Unit Price THB"/>
    <tableColumn id="24" name="Total THB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18.9"/>
    <col collapsed="false" customWidth="true" hidden="false" outlineLevel="0" max="3" min="3" style="0" width="31.51"/>
    <col collapsed="false" customWidth="true" hidden="false" outlineLevel="0" max="4" min="4" style="0" width="30.24"/>
    <col collapsed="false" customWidth="true" hidden="false" outlineLevel="0" max="5" min="5" style="0" width="18.9"/>
    <col collapsed="false" customWidth="true" hidden="false" outlineLevel="0" max="6" min="6" style="0" width="7.56"/>
    <col collapsed="false" customWidth="true" hidden="false" outlineLevel="0" max="7" min="7" style="0" width="27.73"/>
    <col collapsed="false" customWidth="true" hidden="false" outlineLevel="0" max="9" min="8" style="0" width="12.6"/>
    <col collapsed="false" customWidth="true" hidden="false" outlineLevel="0" max="10" min="10" style="0" width="27.73"/>
    <col collapsed="false" customWidth="true" hidden="false" outlineLevel="0" max="11" min="11" style="0" width="25.21"/>
    <col collapsed="false" customWidth="true" hidden="false" outlineLevel="0" max="12" min="12" style="0" width="26.47"/>
    <col collapsed="false" customWidth="true" hidden="false" outlineLevel="0" max="13" min="13" style="0" width="20.17"/>
    <col collapsed="false" customWidth="true" hidden="false" outlineLevel="0" max="15" min="14" style="0" width="34.03"/>
    <col collapsed="false" customWidth="true" hidden="false" outlineLevel="0" max="16" min="16" style="0" width="27.73"/>
    <col collapsed="false" customWidth="true" hidden="false" outlineLevel="0" max="17" min="17" style="0" width="40.35"/>
    <col collapsed="false" customWidth="true" hidden="false" outlineLevel="0" max="18" min="18" style="0" width="16.38"/>
    <col collapsed="false" customWidth="true" hidden="false" outlineLevel="0" max="19" min="19" style="0" width="11.34"/>
    <col collapsed="false" customWidth="true" hidden="false" outlineLevel="0" max="20" min="20" style="0" width="35.29"/>
    <col collapsed="false" customWidth="true" hidden="false" outlineLevel="0" max="21" min="21" style="0" width="15.12"/>
    <col collapsed="false" customWidth="true" hidden="false" outlineLevel="0" max="22" min="22" style="0" width="35.29"/>
    <col collapsed="false" customWidth="true" hidden="false" outlineLevel="0" max="24" min="23" style="0" width="17.6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4"/>
      <c r="I3" s="4"/>
      <c r="J3" s="3"/>
      <c r="K3" s="3"/>
      <c r="L3" s="3"/>
      <c r="M3" s="3"/>
      <c r="N3" s="3"/>
      <c r="O3" s="3"/>
      <c r="P3" s="5"/>
      <c r="Q3" s="6"/>
      <c r="R3" s="7"/>
      <c r="S3" s="7"/>
      <c r="T3" s="7"/>
    </row>
    <row r="4" customFormat="false" ht="34" hidden="false" customHeight="true" outlineLevel="0" collapsed="false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10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11" t="s">
        <v>15</v>
      </c>
      <c r="O4" s="11" t="s">
        <v>16</v>
      </c>
      <c r="P4" s="9" t="s">
        <v>17</v>
      </c>
      <c r="Q4" s="12" t="s">
        <v>18</v>
      </c>
      <c r="R4" s="13" t="s">
        <v>19</v>
      </c>
      <c r="S4" s="12" t="s">
        <v>20</v>
      </c>
      <c r="T4" s="13" t="s">
        <v>21</v>
      </c>
      <c r="U4" s="9" t="s">
        <v>22</v>
      </c>
      <c r="V4" s="9" t="s">
        <v>23</v>
      </c>
      <c r="W4" s="9" t="s">
        <v>24</v>
      </c>
      <c r="X4" s="9" t="s">
        <v>25</v>
      </c>
    </row>
    <row r="5" customFormat="false" ht="41.75" hidden="false" customHeight="false" outlineLevel="0" collapsed="false">
      <c r="A5" s="14" t="n">
        <v>1</v>
      </c>
      <c r="B5" s="15" t="s">
        <v>26</v>
      </c>
      <c r="C5" s="16" t="s">
        <v>27</v>
      </c>
      <c r="D5" s="15" t="s">
        <v>28</v>
      </c>
      <c r="E5" s="15" t="s">
        <v>29</v>
      </c>
      <c r="F5" s="14" t="n">
        <v>1</v>
      </c>
      <c r="G5" s="14" t="s">
        <v>30</v>
      </c>
      <c r="H5" s="17" t="n">
        <v>40</v>
      </c>
      <c r="I5" s="17" t="n">
        <f aca="false">F5*H5</f>
        <v>40</v>
      </c>
      <c r="J5" s="15" t="s">
        <v>31</v>
      </c>
      <c r="K5" s="15" t="s">
        <v>32</v>
      </c>
      <c r="L5" s="15" t="s">
        <v>33</v>
      </c>
      <c r="M5" s="15" t="s">
        <v>34</v>
      </c>
      <c r="N5" s="18" t="s">
        <v>35</v>
      </c>
      <c r="O5" s="18" t="s">
        <v>36</v>
      </c>
      <c r="P5" s="19" t="s">
        <v>37</v>
      </c>
      <c r="Q5" s="20" t="s">
        <v>38</v>
      </c>
      <c r="R5" s="21" t="s">
        <v>39</v>
      </c>
      <c r="S5" s="21" t="s">
        <v>40</v>
      </c>
      <c r="T5" s="21" t="s">
        <v>41</v>
      </c>
      <c r="U5" s="22" t="s">
        <v>42</v>
      </c>
      <c r="V5" s="23" t="s">
        <v>43</v>
      </c>
      <c r="W5" s="24" t="n">
        <v>17400</v>
      </c>
      <c r="X5" s="24" t="n">
        <f aca="false">IF(OR(W5="",F5=""),"",W5*F5)</f>
        <v>17400</v>
      </c>
    </row>
    <row r="6" customFormat="false" ht="41.75" hidden="false" customHeight="false" outlineLevel="0" collapsed="false">
      <c r="A6" s="25" t="n">
        <v>2</v>
      </c>
      <c r="B6" s="26" t="s">
        <v>44</v>
      </c>
      <c r="C6" s="27" t="s">
        <v>45</v>
      </c>
      <c r="D6" s="26" t="s">
        <v>46</v>
      </c>
      <c r="E6" s="26" t="s">
        <v>47</v>
      </c>
      <c r="F6" s="25" t="n">
        <v>1</v>
      </c>
      <c r="G6" s="25" t="s">
        <v>48</v>
      </c>
      <c r="H6" s="28" t="n">
        <v>25</v>
      </c>
      <c r="I6" s="28" t="n">
        <f aca="false">F6*H6</f>
        <v>25</v>
      </c>
      <c r="J6" s="26" t="s">
        <v>49</v>
      </c>
      <c r="K6" s="26" t="s">
        <v>50</v>
      </c>
      <c r="L6" s="26" t="s">
        <v>51</v>
      </c>
      <c r="M6" s="26" t="s">
        <v>52</v>
      </c>
      <c r="N6" s="29" t="s">
        <v>53</v>
      </c>
      <c r="O6" s="29" t="s">
        <v>53</v>
      </c>
      <c r="P6" s="30" t="s">
        <v>54</v>
      </c>
      <c r="Q6" s="31" t="s">
        <v>53</v>
      </c>
      <c r="R6" s="32" t="s">
        <v>55</v>
      </c>
      <c r="S6" s="32"/>
      <c r="T6" s="32" t="s">
        <v>56</v>
      </c>
      <c r="U6" s="33" t="s">
        <v>42</v>
      </c>
      <c r="V6" s="34" t="s">
        <v>57</v>
      </c>
      <c r="W6" s="35"/>
      <c r="X6" s="35" t="str">
        <f aca="false">IF(OR(W6="",F6=""),"",W6*F6)</f>
        <v/>
      </c>
    </row>
    <row r="7" customFormat="false" ht="23.85" hidden="false" customHeight="false" outlineLevel="0" collapsed="false">
      <c r="A7" s="25" t="n">
        <v>3</v>
      </c>
      <c r="B7" s="26" t="s">
        <v>44</v>
      </c>
      <c r="C7" s="27" t="s">
        <v>58</v>
      </c>
      <c r="D7" s="26" t="s">
        <v>59</v>
      </c>
      <c r="E7" s="26" t="s">
        <v>47</v>
      </c>
      <c r="F7" s="25" t="n">
        <v>1</v>
      </c>
      <c r="G7" s="25" t="s">
        <v>60</v>
      </c>
      <c r="H7" s="28" t="n">
        <v>800</v>
      </c>
      <c r="I7" s="28" t="n">
        <f aca="false">F7*H7</f>
        <v>800</v>
      </c>
      <c r="J7" s="26" t="s">
        <v>61</v>
      </c>
      <c r="K7" s="26" t="s">
        <v>62</v>
      </c>
      <c r="L7" s="26" t="s">
        <v>63</v>
      </c>
      <c r="M7" s="26" t="s">
        <v>64</v>
      </c>
      <c r="N7" s="29" t="s">
        <v>65</v>
      </c>
      <c r="O7" s="29" t="s">
        <v>65</v>
      </c>
      <c r="P7" s="30" t="s">
        <v>54</v>
      </c>
      <c r="Q7" s="31" t="s">
        <v>65</v>
      </c>
      <c r="R7" s="32" t="s">
        <v>55</v>
      </c>
      <c r="S7" s="32"/>
      <c r="T7" s="32" t="s">
        <v>56</v>
      </c>
      <c r="U7" s="33" t="s">
        <v>42</v>
      </c>
      <c r="V7" s="34" t="s">
        <v>66</v>
      </c>
      <c r="W7" s="35"/>
      <c r="X7" s="35" t="str">
        <f aca="false">IF(OR(W7="",F7=""),"",W7*F7)</f>
        <v/>
      </c>
    </row>
    <row r="8" customFormat="false" ht="23.85" hidden="false" customHeight="false" outlineLevel="0" collapsed="false">
      <c r="A8" s="25" t="n">
        <v>4</v>
      </c>
      <c r="B8" s="26" t="s">
        <v>44</v>
      </c>
      <c r="C8" s="27" t="s">
        <v>67</v>
      </c>
      <c r="D8" s="26" t="s">
        <v>59</v>
      </c>
      <c r="E8" s="26" t="s">
        <v>47</v>
      </c>
      <c r="F8" s="25" t="n">
        <v>1</v>
      </c>
      <c r="G8" s="25" t="s">
        <v>60</v>
      </c>
      <c r="H8" s="28" t="n">
        <v>800</v>
      </c>
      <c r="I8" s="28" t="n">
        <f aca="false">F8*H8</f>
        <v>800</v>
      </c>
      <c r="J8" s="26" t="s">
        <v>61</v>
      </c>
      <c r="K8" s="26" t="s">
        <v>68</v>
      </c>
      <c r="L8" s="26" t="s">
        <v>63</v>
      </c>
      <c r="M8" s="26" t="s">
        <v>64</v>
      </c>
      <c r="N8" s="29" t="s">
        <v>65</v>
      </c>
      <c r="O8" s="29" t="s">
        <v>65</v>
      </c>
      <c r="P8" s="30" t="s">
        <v>54</v>
      </c>
      <c r="Q8" s="31" t="s">
        <v>65</v>
      </c>
      <c r="R8" s="32" t="s">
        <v>55</v>
      </c>
      <c r="S8" s="32"/>
      <c r="T8" s="32" t="s">
        <v>56</v>
      </c>
      <c r="U8" s="33" t="s">
        <v>42</v>
      </c>
      <c r="V8" s="34" t="s">
        <v>66</v>
      </c>
      <c r="W8" s="35"/>
      <c r="X8" s="35" t="str">
        <f aca="false">IF(OR(W8="",F8=""),"",W8*F8)</f>
        <v/>
      </c>
    </row>
    <row r="9" customFormat="false" ht="41.75" hidden="false" customHeight="false" outlineLevel="0" collapsed="false">
      <c r="A9" s="36" t="n">
        <v>5</v>
      </c>
      <c r="B9" s="37" t="s">
        <v>69</v>
      </c>
      <c r="C9" s="38" t="s">
        <v>70</v>
      </c>
      <c r="D9" s="37" t="s">
        <v>71</v>
      </c>
      <c r="E9" s="37" t="s">
        <v>72</v>
      </c>
      <c r="F9" s="39" t="s">
        <v>73</v>
      </c>
      <c r="G9" s="36" t="s">
        <v>74</v>
      </c>
      <c r="H9" s="40" t="n">
        <v>37</v>
      </c>
      <c r="I9" s="40" t="n">
        <f aca="false">F9*H9</f>
        <v>37</v>
      </c>
      <c r="J9" s="37" t="s">
        <v>75</v>
      </c>
      <c r="K9" s="37" t="s">
        <v>76</v>
      </c>
      <c r="L9" s="37" t="s">
        <v>77</v>
      </c>
      <c r="M9" s="37" t="s">
        <v>78</v>
      </c>
      <c r="N9" s="41" t="s">
        <v>79</v>
      </c>
      <c r="O9" s="41" t="s">
        <v>80</v>
      </c>
      <c r="P9" s="42" t="s">
        <v>81</v>
      </c>
      <c r="Q9" s="43"/>
      <c r="R9" s="44" t="s">
        <v>55</v>
      </c>
      <c r="S9" s="44"/>
      <c r="T9" s="44" t="s">
        <v>82</v>
      </c>
      <c r="U9" s="45" t="s">
        <v>83</v>
      </c>
      <c r="V9" s="46" t="s">
        <v>84</v>
      </c>
      <c r="W9" s="47"/>
      <c r="X9" s="47"/>
    </row>
    <row r="10" customFormat="false" ht="41.75" hidden="false" customHeight="false" outlineLevel="0" collapsed="false">
      <c r="A10" s="36" t="n">
        <v>6</v>
      </c>
      <c r="B10" s="37" t="s">
        <v>69</v>
      </c>
      <c r="C10" s="38" t="s">
        <v>85</v>
      </c>
      <c r="D10" s="37" t="s">
        <v>71</v>
      </c>
      <c r="E10" s="37" t="s">
        <v>72</v>
      </c>
      <c r="F10" s="39" t="s">
        <v>73</v>
      </c>
      <c r="G10" s="36" t="s">
        <v>74</v>
      </c>
      <c r="H10" s="40" t="n">
        <v>37</v>
      </c>
      <c r="I10" s="40" t="n">
        <f aca="false">F10*H10</f>
        <v>37</v>
      </c>
      <c r="J10" s="37" t="s">
        <v>75</v>
      </c>
      <c r="K10" s="37" t="s">
        <v>76</v>
      </c>
      <c r="L10" s="37" t="s">
        <v>77</v>
      </c>
      <c r="M10" s="37" t="s">
        <v>78</v>
      </c>
      <c r="N10" s="41" t="s">
        <v>79</v>
      </c>
      <c r="O10" s="41" t="s">
        <v>80</v>
      </c>
      <c r="P10" s="42" t="s">
        <v>81</v>
      </c>
      <c r="Q10" s="43"/>
      <c r="R10" s="44" t="s">
        <v>55</v>
      </c>
      <c r="S10" s="44"/>
      <c r="T10" s="44" t="s">
        <v>82</v>
      </c>
      <c r="U10" s="45" t="s">
        <v>83</v>
      </c>
      <c r="V10" s="46" t="s">
        <v>86</v>
      </c>
      <c r="W10" s="47"/>
      <c r="X10" s="47"/>
    </row>
    <row r="11" customFormat="false" ht="41.75" hidden="false" customHeight="false" outlineLevel="0" collapsed="false">
      <c r="A11" s="48" t="n">
        <v>7</v>
      </c>
      <c r="B11" s="49" t="s">
        <v>87</v>
      </c>
      <c r="C11" s="50" t="s">
        <v>88</v>
      </c>
      <c r="D11" s="49" t="s">
        <v>89</v>
      </c>
      <c r="E11" s="49" t="s">
        <v>90</v>
      </c>
      <c r="F11" s="48" t="n">
        <v>1</v>
      </c>
      <c r="G11" s="48" t="s">
        <v>91</v>
      </c>
      <c r="H11" s="51" t="n">
        <v>2</v>
      </c>
      <c r="I11" s="51" t="n">
        <f aca="false">F11*H11</f>
        <v>2</v>
      </c>
      <c r="J11" s="49" t="s">
        <v>92</v>
      </c>
      <c r="K11" s="49" t="s">
        <v>93</v>
      </c>
      <c r="L11" s="49" t="s">
        <v>94</v>
      </c>
      <c r="M11" s="49" t="s">
        <v>95</v>
      </c>
      <c r="N11" s="52" t="s">
        <v>96</v>
      </c>
      <c r="O11" s="52" t="s">
        <v>96</v>
      </c>
      <c r="P11" s="53" t="s">
        <v>97</v>
      </c>
      <c r="Q11" s="54" t="s">
        <v>96</v>
      </c>
      <c r="R11" s="55" t="s">
        <v>55</v>
      </c>
      <c r="S11" s="55"/>
      <c r="T11" s="55" t="s">
        <v>98</v>
      </c>
      <c r="U11" s="56" t="s">
        <v>42</v>
      </c>
      <c r="V11" s="57" t="s">
        <v>99</v>
      </c>
      <c r="W11" s="58"/>
      <c r="X11" s="58" t="str">
        <f aca="false">IF(OR(W11="",F11=""),"",W11*F11)</f>
        <v/>
      </c>
    </row>
    <row r="12" customFormat="false" ht="41.75" hidden="false" customHeight="false" outlineLevel="0" collapsed="false">
      <c r="A12" s="59" t="n">
        <v>8</v>
      </c>
      <c r="B12" s="60" t="s">
        <v>100</v>
      </c>
      <c r="C12" s="61" t="s">
        <v>101</v>
      </c>
      <c r="D12" s="60" t="s">
        <v>102</v>
      </c>
      <c r="E12" s="60" t="s">
        <v>103</v>
      </c>
      <c r="F12" s="59" t="n">
        <v>1</v>
      </c>
      <c r="G12" s="59" t="s">
        <v>104</v>
      </c>
      <c r="H12" s="62" t="n">
        <v>12</v>
      </c>
      <c r="I12" s="62" t="n">
        <f aca="false">F12*H12</f>
        <v>12</v>
      </c>
      <c r="J12" s="60" t="s">
        <v>105</v>
      </c>
      <c r="K12" s="60" t="s">
        <v>106</v>
      </c>
      <c r="L12" s="60" t="s">
        <v>107</v>
      </c>
      <c r="M12" s="60" t="s">
        <v>108</v>
      </c>
      <c r="N12" s="63" t="s">
        <v>109</v>
      </c>
      <c r="O12" s="63" t="s">
        <v>110</v>
      </c>
      <c r="P12" s="64" t="s">
        <v>111</v>
      </c>
      <c r="Q12" s="65" t="s">
        <v>112</v>
      </c>
      <c r="R12" s="66" t="s">
        <v>113</v>
      </c>
      <c r="S12" s="66" t="s">
        <v>40</v>
      </c>
      <c r="T12" s="66" t="s">
        <v>114</v>
      </c>
      <c r="U12" s="67" t="s">
        <v>42</v>
      </c>
      <c r="V12" s="68" t="s">
        <v>115</v>
      </c>
      <c r="W12" s="69" t="n">
        <v>39047.45</v>
      </c>
      <c r="X12" s="69" t="n">
        <f aca="false">IF(OR(W12="",F12=""),"",W12*F12)</f>
        <v>39047.45</v>
      </c>
    </row>
    <row r="13" customFormat="false" ht="32.8" hidden="false" customHeight="false" outlineLevel="0" collapsed="false">
      <c r="A13" s="59" t="n">
        <v>9</v>
      </c>
      <c r="B13" s="60" t="s">
        <v>100</v>
      </c>
      <c r="C13" s="61" t="s">
        <v>116</v>
      </c>
      <c r="D13" s="60" t="s">
        <v>117</v>
      </c>
      <c r="E13" s="60" t="s">
        <v>103</v>
      </c>
      <c r="F13" s="59" t="n">
        <v>1</v>
      </c>
      <c r="G13" s="59" t="s">
        <v>118</v>
      </c>
      <c r="H13" s="62" t="n">
        <v>5</v>
      </c>
      <c r="I13" s="62" t="n">
        <f aca="false">F13*H13</f>
        <v>5</v>
      </c>
      <c r="J13" s="60" t="s">
        <v>119</v>
      </c>
      <c r="K13" s="60" t="s">
        <v>120</v>
      </c>
      <c r="L13" s="60" t="s">
        <v>121</v>
      </c>
      <c r="M13" s="60" t="s">
        <v>108</v>
      </c>
      <c r="N13" s="63" t="s">
        <v>122</v>
      </c>
      <c r="O13" s="63" t="s">
        <v>123</v>
      </c>
      <c r="P13" s="64" t="s">
        <v>124</v>
      </c>
      <c r="Q13" s="65" t="s">
        <v>125</v>
      </c>
      <c r="R13" s="66" t="s">
        <v>126</v>
      </c>
      <c r="S13" s="66" t="s">
        <v>40</v>
      </c>
      <c r="T13" s="66" t="s">
        <v>127</v>
      </c>
      <c r="U13" s="67" t="s">
        <v>42</v>
      </c>
      <c r="V13" s="68" t="s">
        <v>128</v>
      </c>
      <c r="W13" s="69" t="n">
        <v>6235.29</v>
      </c>
      <c r="X13" s="69" t="n">
        <f aca="false">IF(OR(W13="",F13=""),"",W13*F13)</f>
        <v>6235.29</v>
      </c>
    </row>
    <row r="14" customFormat="false" ht="43.25" hidden="false" customHeight="false" outlineLevel="0" collapsed="false">
      <c r="A14" s="59" t="n">
        <v>10</v>
      </c>
      <c r="B14" s="60" t="s">
        <v>100</v>
      </c>
      <c r="C14" s="61" t="s">
        <v>129</v>
      </c>
      <c r="D14" s="60" t="s">
        <v>130</v>
      </c>
      <c r="E14" s="60" t="s">
        <v>103</v>
      </c>
      <c r="F14" s="59" t="n">
        <v>1</v>
      </c>
      <c r="G14" s="59" t="s">
        <v>131</v>
      </c>
      <c r="H14" s="62" t="n">
        <v>5</v>
      </c>
      <c r="I14" s="62" t="n">
        <f aca="false">F14*H14</f>
        <v>5</v>
      </c>
      <c r="J14" s="60" t="s">
        <v>119</v>
      </c>
      <c r="K14" s="60" t="s">
        <v>132</v>
      </c>
      <c r="L14" s="60" t="s">
        <v>133</v>
      </c>
      <c r="M14" s="60" t="s">
        <v>108</v>
      </c>
      <c r="N14" s="63" t="s">
        <v>134</v>
      </c>
      <c r="O14" s="63" t="s">
        <v>135</v>
      </c>
      <c r="P14" s="64" t="s">
        <v>136</v>
      </c>
      <c r="Q14" s="65" t="s">
        <v>137</v>
      </c>
      <c r="R14" s="66" t="s">
        <v>138</v>
      </c>
      <c r="S14" s="66" t="s">
        <v>139</v>
      </c>
      <c r="T14" s="66" t="s">
        <v>140</v>
      </c>
      <c r="U14" s="67" t="s">
        <v>42</v>
      </c>
      <c r="V14" s="68" t="s">
        <v>141</v>
      </c>
      <c r="W14" s="69"/>
      <c r="X14" s="69" t="str">
        <f aca="false">IF(OR(W14="",F14=""),"",W14*F14)</f>
        <v/>
      </c>
    </row>
    <row r="15" customFormat="false" ht="32.8" hidden="false" customHeight="false" outlineLevel="0" collapsed="false">
      <c r="A15" s="59" t="n">
        <v>11</v>
      </c>
      <c r="B15" s="60" t="s">
        <v>100</v>
      </c>
      <c r="C15" s="61" t="s">
        <v>142</v>
      </c>
      <c r="D15" s="60" t="s">
        <v>143</v>
      </c>
      <c r="E15" s="60" t="s">
        <v>103</v>
      </c>
      <c r="F15" s="59" t="n">
        <v>1</v>
      </c>
      <c r="G15" s="59" t="s">
        <v>144</v>
      </c>
      <c r="H15" s="62" t="n">
        <v>0</v>
      </c>
      <c r="I15" s="62" t="n">
        <f aca="false">F15*H15</f>
        <v>0</v>
      </c>
      <c r="J15" s="60" t="s">
        <v>145</v>
      </c>
      <c r="K15" s="60" t="s">
        <v>120</v>
      </c>
      <c r="L15" s="60" t="s">
        <v>146</v>
      </c>
      <c r="M15" s="60" t="s">
        <v>108</v>
      </c>
      <c r="N15" s="63" t="s">
        <v>147</v>
      </c>
      <c r="O15" s="63" t="s">
        <v>147</v>
      </c>
      <c r="P15" s="64" t="s">
        <v>148</v>
      </c>
      <c r="Q15" s="65" t="s">
        <v>149</v>
      </c>
      <c r="R15" s="66" t="s">
        <v>55</v>
      </c>
      <c r="S15" s="66"/>
      <c r="T15" s="66" t="s">
        <v>150</v>
      </c>
      <c r="U15" s="67" t="s">
        <v>42</v>
      </c>
      <c r="V15" s="68" t="s">
        <v>151</v>
      </c>
      <c r="W15" s="69"/>
      <c r="X15" s="69" t="str">
        <f aca="false">IF(OR(W15="",F15=""),"",W15*F15)</f>
        <v/>
      </c>
    </row>
    <row r="16" customFormat="false" ht="35.05" hidden="false" customHeight="false" outlineLevel="0" collapsed="false">
      <c r="A16" s="14" t="n">
        <v>12</v>
      </c>
      <c r="B16" s="15" t="s">
        <v>152</v>
      </c>
      <c r="C16" s="16" t="s">
        <v>153</v>
      </c>
      <c r="D16" s="15" t="s">
        <v>154</v>
      </c>
      <c r="E16" s="15" t="s">
        <v>103</v>
      </c>
      <c r="F16" s="14" t="n">
        <v>1</v>
      </c>
      <c r="G16" s="14" t="s">
        <v>155</v>
      </c>
      <c r="H16" s="17" t="n">
        <v>15</v>
      </c>
      <c r="I16" s="17" t="n">
        <f aca="false">F16*H16</f>
        <v>15</v>
      </c>
      <c r="J16" s="15" t="s">
        <v>156</v>
      </c>
      <c r="K16" s="15" t="s">
        <v>157</v>
      </c>
      <c r="L16" s="15" t="s">
        <v>158</v>
      </c>
      <c r="M16" s="15" t="s">
        <v>108</v>
      </c>
      <c r="N16" s="18" t="s">
        <v>159</v>
      </c>
      <c r="O16" s="18" t="s">
        <v>160</v>
      </c>
      <c r="P16" s="19" t="s">
        <v>124</v>
      </c>
      <c r="Q16" s="20" t="s">
        <v>161</v>
      </c>
      <c r="R16" s="21" t="s">
        <v>162</v>
      </c>
      <c r="S16" s="21" t="s">
        <v>40</v>
      </c>
      <c r="T16" s="21" t="s">
        <v>163</v>
      </c>
      <c r="U16" s="22" t="s">
        <v>42</v>
      </c>
      <c r="V16" s="23" t="s">
        <v>164</v>
      </c>
      <c r="W16" s="24" t="n">
        <v>51411.76</v>
      </c>
      <c r="X16" s="24" t="n">
        <f aca="false">IF(OR(W16="",F16=""),"",W16*F16)</f>
        <v>51411.76</v>
      </c>
    </row>
    <row r="17" customFormat="false" ht="32.8" hidden="false" customHeight="false" outlineLevel="0" collapsed="false">
      <c r="A17" s="36" t="n">
        <v>13</v>
      </c>
      <c r="B17" s="37" t="s">
        <v>11</v>
      </c>
      <c r="C17" s="38" t="s">
        <v>165</v>
      </c>
      <c r="D17" s="37" t="s">
        <v>166</v>
      </c>
      <c r="E17" s="37" t="s">
        <v>167</v>
      </c>
      <c r="F17" s="36" t="n">
        <v>1</v>
      </c>
      <c r="G17" s="36" t="s">
        <v>168</v>
      </c>
      <c r="H17" s="40" t="n">
        <v>3</v>
      </c>
      <c r="I17" s="40" t="n">
        <f aca="false">F17*H17</f>
        <v>3</v>
      </c>
      <c r="J17" s="37" t="s">
        <v>169</v>
      </c>
      <c r="K17" s="37" t="s">
        <v>170</v>
      </c>
      <c r="L17" s="37" t="s">
        <v>171</v>
      </c>
      <c r="M17" s="37" t="s">
        <v>172</v>
      </c>
      <c r="N17" s="41" t="s">
        <v>173</v>
      </c>
      <c r="O17" s="41" t="s">
        <v>174</v>
      </c>
      <c r="P17" s="42" t="s">
        <v>175</v>
      </c>
      <c r="Q17" s="43" t="s">
        <v>176</v>
      </c>
      <c r="R17" s="44" t="s">
        <v>55</v>
      </c>
      <c r="S17" s="44"/>
      <c r="T17" s="44" t="s">
        <v>177</v>
      </c>
      <c r="U17" s="70" t="s">
        <v>42</v>
      </c>
      <c r="V17" s="46" t="s">
        <v>178</v>
      </c>
      <c r="W17" s="47"/>
      <c r="X17" s="47" t="str">
        <f aca="false">IF(OR(W17="",F17=""),"",W17*F17)</f>
        <v/>
      </c>
    </row>
    <row r="18" customFormat="false" ht="32.8" hidden="false" customHeight="false" outlineLevel="0" collapsed="false">
      <c r="A18" s="71" t="n">
        <v>14</v>
      </c>
      <c r="B18" s="72" t="s">
        <v>179</v>
      </c>
      <c r="C18" s="73" t="s">
        <v>180</v>
      </c>
      <c r="D18" s="72" t="s">
        <v>181</v>
      </c>
      <c r="E18" s="72" t="s">
        <v>103</v>
      </c>
      <c r="F18" s="71" t="n">
        <v>1</v>
      </c>
      <c r="G18" s="71" t="s">
        <v>118</v>
      </c>
      <c r="H18" s="74" t="n">
        <v>8</v>
      </c>
      <c r="I18" s="74" t="n">
        <f aca="false">F18*H18</f>
        <v>8</v>
      </c>
      <c r="J18" s="72" t="s">
        <v>182</v>
      </c>
      <c r="K18" s="72" t="s">
        <v>183</v>
      </c>
      <c r="L18" s="72" t="s">
        <v>184</v>
      </c>
      <c r="M18" s="72" t="s">
        <v>108</v>
      </c>
      <c r="N18" s="75" t="s">
        <v>185</v>
      </c>
      <c r="O18" s="75" t="s">
        <v>185</v>
      </c>
      <c r="P18" s="76" t="s">
        <v>124</v>
      </c>
      <c r="Q18" s="77" t="s">
        <v>186</v>
      </c>
      <c r="R18" s="78" t="s">
        <v>187</v>
      </c>
      <c r="S18" s="78" t="s">
        <v>40</v>
      </c>
      <c r="T18" s="78" t="s">
        <v>188</v>
      </c>
      <c r="U18" s="79" t="s">
        <v>42</v>
      </c>
      <c r="V18" s="80" t="s">
        <v>189</v>
      </c>
      <c r="W18" s="81" t="n">
        <v>21137.5</v>
      </c>
      <c r="X18" s="81" t="n">
        <f aca="false">IF(OR(W18="",F18=""),"",W18*F18)</f>
        <v>21137.5</v>
      </c>
    </row>
    <row r="19" customFormat="false" ht="35.05" hidden="false" customHeight="false" outlineLevel="0" collapsed="false">
      <c r="A19" s="82" t="n">
        <v>15</v>
      </c>
      <c r="B19" s="83" t="s">
        <v>190</v>
      </c>
      <c r="C19" s="84" t="s">
        <v>191</v>
      </c>
      <c r="D19" s="83" t="s">
        <v>192</v>
      </c>
      <c r="E19" s="83" t="s">
        <v>193</v>
      </c>
      <c r="F19" s="82" t="n">
        <v>1</v>
      </c>
      <c r="G19" s="82" t="s">
        <v>194</v>
      </c>
      <c r="H19" s="85" t="n">
        <v>240</v>
      </c>
      <c r="I19" s="85" t="n">
        <f aca="false">F19*H19</f>
        <v>240</v>
      </c>
      <c r="J19" s="83" t="s">
        <v>195</v>
      </c>
      <c r="K19" s="83" t="s">
        <v>196</v>
      </c>
      <c r="L19" s="83" t="s">
        <v>197</v>
      </c>
      <c r="M19" s="83" t="s">
        <v>198</v>
      </c>
      <c r="N19" s="86" t="s">
        <v>199</v>
      </c>
      <c r="O19" s="86" t="s">
        <v>200</v>
      </c>
      <c r="P19" s="87" t="s">
        <v>201</v>
      </c>
      <c r="Q19" s="88" t="s">
        <v>202</v>
      </c>
      <c r="R19" s="89" t="s">
        <v>203</v>
      </c>
      <c r="S19" s="89" t="s">
        <v>40</v>
      </c>
      <c r="T19" s="89" t="s">
        <v>204</v>
      </c>
      <c r="U19" s="90" t="s">
        <v>42</v>
      </c>
      <c r="V19" s="91" t="s">
        <v>205</v>
      </c>
      <c r="W19" s="92" t="n">
        <v>3297.93</v>
      </c>
      <c r="X19" s="92" t="n">
        <f aca="false">IF(OR(W19="",F19=""),"",W19*F19)</f>
        <v>3297.93</v>
      </c>
    </row>
    <row r="20" customFormat="false" ht="43.25" hidden="false" customHeight="false" outlineLevel="0" collapsed="false">
      <c r="A20" s="82" t="n">
        <v>16</v>
      </c>
      <c r="B20" s="83" t="s">
        <v>190</v>
      </c>
      <c r="C20" s="84" t="s">
        <v>206</v>
      </c>
      <c r="D20" s="83" t="s">
        <v>207</v>
      </c>
      <c r="E20" s="83" t="s">
        <v>193</v>
      </c>
      <c r="F20" s="82" t="n">
        <v>1</v>
      </c>
      <c r="G20" s="82" t="s">
        <v>208</v>
      </c>
      <c r="H20" s="85" t="n">
        <v>60</v>
      </c>
      <c r="I20" s="85" t="n">
        <f aca="false">F20*H20</f>
        <v>60</v>
      </c>
      <c r="J20" s="83" t="s">
        <v>209</v>
      </c>
      <c r="K20" s="83" t="s">
        <v>210</v>
      </c>
      <c r="L20" s="83" t="s">
        <v>211</v>
      </c>
      <c r="M20" s="83" t="s">
        <v>198</v>
      </c>
      <c r="N20" s="86" t="s">
        <v>212</v>
      </c>
      <c r="O20" s="86" t="s">
        <v>213</v>
      </c>
      <c r="P20" s="87" t="s">
        <v>214</v>
      </c>
      <c r="Q20" s="88" t="s">
        <v>215</v>
      </c>
      <c r="R20" s="89" t="s">
        <v>55</v>
      </c>
      <c r="S20" s="89"/>
      <c r="T20" s="89" t="s">
        <v>216</v>
      </c>
      <c r="U20" s="90" t="s">
        <v>42</v>
      </c>
      <c r="V20" s="91" t="s">
        <v>217</v>
      </c>
      <c r="W20" s="92"/>
      <c r="X20" s="92" t="str">
        <f aca="false">IF(OR(W20="",F20=""),"",W20*F20)</f>
        <v/>
      </c>
    </row>
    <row r="21" customFormat="false" ht="41.75" hidden="false" customHeight="false" outlineLevel="0" collapsed="false">
      <c r="A21" s="93" t="n">
        <v>17</v>
      </c>
      <c r="B21" s="94" t="s">
        <v>218</v>
      </c>
      <c r="C21" s="95" t="s">
        <v>219</v>
      </c>
      <c r="D21" s="94" t="s">
        <v>220</v>
      </c>
      <c r="E21" s="94" t="s">
        <v>221</v>
      </c>
      <c r="F21" s="93" t="n">
        <v>1</v>
      </c>
      <c r="G21" s="93" t="s">
        <v>222</v>
      </c>
      <c r="H21" s="96" t="n">
        <v>0</v>
      </c>
      <c r="I21" s="96" t="n">
        <f aca="false">F21*H21</f>
        <v>0</v>
      </c>
      <c r="J21" s="94" t="s">
        <v>223</v>
      </c>
      <c r="K21" s="94" t="s">
        <v>224</v>
      </c>
      <c r="L21" s="94" t="s">
        <v>225</v>
      </c>
      <c r="M21" s="94" t="s">
        <v>226</v>
      </c>
      <c r="N21" s="97" t="s">
        <v>221</v>
      </c>
      <c r="O21" s="97" t="s">
        <v>221</v>
      </c>
      <c r="P21" s="98" t="s">
        <v>221</v>
      </c>
      <c r="Q21" s="99"/>
      <c r="R21" s="100" t="s">
        <v>227</v>
      </c>
      <c r="S21" s="100"/>
      <c r="T21" s="100" t="s">
        <v>228</v>
      </c>
      <c r="U21" s="101" t="s">
        <v>42</v>
      </c>
      <c r="V21" s="102" t="s">
        <v>229</v>
      </c>
      <c r="W21" s="103"/>
      <c r="X21" s="103" t="str">
        <f aca="false">IF(OR(W21="",F21=""),"",W21*F21)</f>
        <v/>
      </c>
    </row>
    <row r="22" customFormat="false" ht="28.35" hidden="false" customHeight="false" outlineLevel="0" collapsed="false">
      <c r="A22" s="104" t="n">
        <v>18</v>
      </c>
      <c r="B22" s="105" t="s">
        <v>230</v>
      </c>
      <c r="C22" s="106" t="s">
        <v>231</v>
      </c>
      <c r="D22" s="105" t="s">
        <v>232</v>
      </c>
      <c r="E22" s="105" t="s">
        <v>233</v>
      </c>
      <c r="F22" s="104" t="n">
        <v>1</v>
      </c>
      <c r="G22" s="104" t="s">
        <v>234</v>
      </c>
      <c r="H22" s="107" t="n">
        <v>0</v>
      </c>
      <c r="I22" s="107" t="n">
        <f aca="false">F22*H22</f>
        <v>0</v>
      </c>
      <c r="J22" s="105" t="s">
        <v>235</v>
      </c>
      <c r="K22" s="105" t="s">
        <v>236</v>
      </c>
      <c r="L22" s="105" t="s">
        <v>237</v>
      </c>
      <c r="M22" s="105" t="s">
        <v>238</v>
      </c>
      <c r="N22" s="108" t="s">
        <v>233</v>
      </c>
      <c r="O22" s="108" t="s">
        <v>233</v>
      </c>
      <c r="P22" s="109" t="s">
        <v>239</v>
      </c>
      <c r="Q22" s="110"/>
      <c r="R22" s="111" t="s">
        <v>233</v>
      </c>
      <c r="S22" s="111"/>
      <c r="T22" s="111" t="s">
        <v>240</v>
      </c>
      <c r="U22" s="112" t="s">
        <v>42</v>
      </c>
      <c r="V22" s="113" t="s">
        <v>241</v>
      </c>
      <c r="W22" s="114"/>
      <c r="X22" s="114" t="str">
        <f aca="false">IF(OR(W22="",F22=""),"",W22*F22)</f>
        <v/>
      </c>
    </row>
    <row r="23" customFormat="false" ht="32.8" hidden="false" customHeight="false" outlineLevel="0" collapsed="false">
      <c r="A23" s="115" t="n">
        <v>19</v>
      </c>
      <c r="B23" s="116" t="s">
        <v>242</v>
      </c>
      <c r="C23" s="117" t="s">
        <v>243</v>
      </c>
      <c r="D23" s="116" t="s">
        <v>244</v>
      </c>
      <c r="E23" s="116" t="s">
        <v>245</v>
      </c>
      <c r="F23" s="115" t="n">
        <v>1</v>
      </c>
      <c r="G23" s="115" t="s">
        <v>246</v>
      </c>
      <c r="H23" s="118" t="n">
        <v>0</v>
      </c>
      <c r="I23" s="118" t="n">
        <f aca="false">F23*H23</f>
        <v>0</v>
      </c>
      <c r="J23" s="116" t="s">
        <v>63</v>
      </c>
      <c r="K23" s="116" t="s">
        <v>247</v>
      </c>
      <c r="L23" s="116" t="s">
        <v>248</v>
      </c>
      <c r="M23" s="116" t="s">
        <v>249</v>
      </c>
      <c r="N23" s="119" t="s">
        <v>250</v>
      </c>
      <c r="O23" s="119" t="s">
        <v>250</v>
      </c>
      <c r="P23" s="120" t="s">
        <v>251</v>
      </c>
      <c r="Q23" s="121" t="s">
        <v>252</v>
      </c>
      <c r="R23" s="122" t="s">
        <v>55</v>
      </c>
      <c r="S23" s="122"/>
      <c r="T23" s="122" t="s">
        <v>253</v>
      </c>
      <c r="U23" s="123" t="s">
        <v>42</v>
      </c>
      <c r="V23" s="124" t="s">
        <v>254</v>
      </c>
      <c r="W23" s="125"/>
      <c r="X23" s="125" t="str">
        <f aca="false">IF(OR(W23="",F23=""),"",W23*F23)</f>
        <v/>
      </c>
    </row>
    <row r="24" customFormat="false" ht="32.8" hidden="false" customHeight="false" outlineLevel="0" collapsed="false">
      <c r="A24" s="115" t="n">
        <v>20</v>
      </c>
      <c r="B24" s="116" t="s">
        <v>242</v>
      </c>
      <c r="C24" s="117" t="s">
        <v>255</v>
      </c>
      <c r="D24" s="116" t="s">
        <v>256</v>
      </c>
      <c r="E24" s="116" t="s">
        <v>257</v>
      </c>
      <c r="F24" s="115" t="n">
        <v>1</v>
      </c>
      <c r="G24" s="115" t="s">
        <v>258</v>
      </c>
      <c r="H24" s="118" t="n">
        <v>0</v>
      </c>
      <c r="I24" s="118" t="n">
        <f aca="false">F24*H24</f>
        <v>0</v>
      </c>
      <c r="J24" s="116" t="s">
        <v>259</v>
      </c>
      <c r="K24" s="116" t="s">
        <v>260</v>
      </c>
      <c r="L24" s="116" t="s">
        <v>261</v>
      </c>
      <c r="M24" s="116" t="s">
        <v>64</v>
      </c>
      <c r="N24" s="119" t="s">
        <v>262</v>
      </c>
      <c r="O24" s="119" t="s">
        <v>262</v>
      </c>
      <c r="P24" s="120" t="s">
        <v>263</v>
      </c>
      <c r="Q24" s="121" t="s">
        <v>262</v>
      </c>
      <c r="R24" s="122" t="s">
        <v>55</v>
      </c>
      <c r="S24" s="122"/>
      <c r="T24" s="122" t="s">
        <v>264</v>
      </c>
      <c r="U24" s="123" t="s">
        <v>42</v>
      </c>
      <c r="V24" s="124" t="s">
        <v>265</v>
      </c>
      <c r="W24" s="125"/>
      <c r="X24" s="125" t="str">
        <f aca="false">IF(OR(W24="",F24=""),"",W24*F24)</f>
        <v/>
      </c>
    </row>
    <row r="25" customFormat="false" ht="32.8" hidden="false" customHeight="false" outlineLevel="0" collapsed="false">
      <c r="A25" s="115" t="n">
        <v>21</v>
      </c>
      <c r="B25" s="116" t="s">
        <v>242</v>
      </c>
      <c r="C25" s="117" t="s">
        <v>266</v>
      </c>
      <c r="D25" s="116" t="s">
        <v>267</v>
      </c>
      <c r="E25" s="116" t="s">
        <v>268</v>
      </c>
      <c r="F25" s="115" t="n">
        <v>1</v>
      </c>
      <c r="G25" s="115" t="s">
        <v>269</v>
      </c>
      <c r="H25" s="118" t="n">
        <v>8</v>
      </c>
      <c r="I25" s="118" t="n">
        <f aca="false">F25*H25</f>
        <v>8</v>
      </c>
      <c r="J25" s="116" t="s">
        <v>270</v>
      </c>
      <c r="K25" s="116" t="s">
        <v>271</v>
      </c>
      <c r="L25" s="116" t="s">
        <v>272</v>
      </c>
      <c r="M25" s="116" t="s">
        <v>273</v>
      </c>
      <c r="N25" s="119" t="s">
        <v>274</v>
      </c>
      <c r="O25" s="119" t="s">
        <v>274</v>
      </c>
      <c r="P25" s="120" t="s">
        <v>201</v>
      </c>
      <c r="Q25" s="121" t="s">
        <v>275</v>
      </c>
      <c r="R25" s="122" t="s">
        <v>276</v>
      </c>
      <c r="S25" s="122" t="s">
        <v>40</v>
      </c>
      <c r="T25" s="122" t="s">
        <v>277</v>
      </c>
      <c r="U25" s="123" t="s">
        <v>42</v>
      </c>
      <c r="V25" s="124" t="s">
        <v>278</v>
      </c>
      <c r="W25" s="125" t="n">
        <v>5636.6</v>
      </c>
      <c r="X25" s="125" t="n">
        <f aca="false">IF(OR(W25="",F25=""),"",W25*F25)</f>
        <v>5636.6</v>
      </c>
    </row>
    <row r="26" customFormat="false" ht="32.8" hidden="false" customHeight="false" outlineLevel="0" collapsed="false">
      <c r="A26" s="115" t="n">
        <v>22</v>
      </c>
      <c r="B26" s="116" t="s">
        <v>242</v>
      </c>
      <c r="C26" s="117" t="s">
        <v>279</v>
      </c>
      <c r="D26" s="116" t="s">
        <v>267</v>
      </c>
      <c r="E26" s="116" t="s">
        <v>268</v>
      </c>
      <c r="F26" s="115" t="n">
        <v>1</v>
      </c>
      <c r="G26" s="115" t="s">
        <v>269</v>
      </c>
      <c r="H26" s="118" t="n">
        <v>8</v>
      </c>
      <c r="I26" s="118" t="n">
        <f aca="false">F26*H26</f>
        <v>8</v>
      </c>
      <c r="J26" s="116" t="s">
        <v>270</v>
      </c>
      <c r="K26" s="116" t="s">
        <v>271</v>
      </c>
      <c r="L26" s="116" t="s">
        <v>280</v>
      </c>
      <c r="M26" s="116" t="s">
        <v>273</v>
      </c>
      <c r="N26" s="119" t="s">
        <v>274</v>
      </c>
      <c r="O26" s="119" t="s">
        <v>274</v>
      </c>
      <c r="P26" s="120" t="s">
        <v>201</v>
      </c>
      <c r="Q26" s="121" t="s">
        <v>275</v>
      </c>
      <c r="R26" s="122" t="s">
        <v>276</v>
      </c>
      <c r="S26" s="122" t="s">
        <v>40</v>
      </c>
      <c r="T26" s="122" t="s">
        <v>277</v>
      </c>
      <c r="U26" s="123" t="s">
        <v>42</v>
      </c>
      <c r="V26" s="124" t="s">
        <v>281</v>
      </c>
      <c r="W26" s="125" t="n">
        <v>5636.6</v>
      </c>
      <c r="X26" s="125" t="n">
        <f aca="false">IF(OR(W26="",F26=""),"",W26*F26)</f>
        <v>5636.6</v>
      </c>
    </row>
    <row r="27" customFormat="false" ht="85.05" hidden="false" customHeight="false" outlineLevel="0" collapsed="false">
      <c r="A27" s="115" t="n">
        <v>23</v>
      </c>
      <c r="B27" s="116" t="s">
        <v>242</v>
      </c>
      <c r="C27" s="117" t="s">
        <v>282</v>
      </c>
      <c r="D27" s="116" t="s">
        <v>283</v>
      </c>
      <c r="E27" s="116" t="s">
        <v>284</v>
      </c>
      <c r="F27" s="115" t="n">
        <v>1</v>
      </c>
      <c r="G27" s="115" t="s">
        <v>285</v>
      </c>
      <c r="H27" s="118" t="n">
        <v>2</v>
      </c>
      <c r="I27" s="118" t="n">
        <f aca="false">F27*H27</f>
        <v>2</v>
      </c>
      <c r="J27" s="116" t="s">
        <v>286</v>
      </c>
      <c r="K27" s="116" t="s">
        <v>287</v>
      </c>
      <c r="L27" s="116" t="s">
        <v>288</v>
      </c>
      <c r="M27" s="116" t="s">
        <v>289</v>
      </c>
      <c r="N27" s="119" t="s">
        <v>290</v>
      </c>
      <c r="O27" s="119" t="s">
        <v>290</v>
      </c>
      <c r="P27" s="120" t="s">
        <v>291</v>
      </c>
      <c r="Q27" s="121" t="s">
        <v>292</v>
      </c>
      <c r="R27" s="122" t="s">
        <v>293</v>
      </c>
      <c r="S27" s="122" t="s">
        <v>40</v>
      </c>
      <c r="T27" s="122" t="s">
        <v>294</v>
      </c>
      <c r="U27" s="123" t="s">
        <v>42</v>
      </c>
      <c r="V27" s="124" t="s">
        <v>295</v>
      </c>
      <c r="W27" s="125" t="n">
        <v>495</v>
      </c>
      <c r="X27" s="125" t="n">
        <f aca="false">IF(OR(W27="",F27=""),"",W27*F27)</f>
        <v>495</v>
      </c>
    </row>
    <row r="28" customFormat="false" ht="41.75" hidden="false" customHeight="false" outlineLevel="0" collapsed="false">
      <c r="A28" s="115" t="n">
        <v>24</v>
      </c>
      <c r="B28" s="116" t="s">
        <v>242</v>
      </c>
      <c r="C28" s="117" t="s">
        <v>296</v>
      </c>
      <c r="D28" s="116" t="s">
        <v>297</v>
      </c>
      <c r="E28" s="116" t="s">
        <v>298</v>
      </c>
      <c r="F28" s="115" t="n">
        <v>1</v>
      </c>
      <c r="G28" s="115" t="s">
        <v>299</v>
      </c>
      <c r="H28" s="118" t="n">
        <v>0</v>
      </c>
      <c r="I28" s="118" t="n">
        <f aca="false">F28*H28</f>
        <v>0</v>
      </c>
      <c r="J28" s="116" t="s">
        <v>63</v>
      </c>
      <c r="K28" s="116" t="s">
        <v>300</v>
      </c>
      <c r="L28" s="116" t="s">
        <v>301</v>
      </c>
      <c r="M28" s="116" t="s">
        <v>302</v>
      </c>
      <c r="N28" s="119" t="s">
        <v>303</v>
      </c>
      <c r="O28" s="119" t="s">
        <v>303</v>
      </c>
      <c r="P28" s="120" t="s">
        <v>304</v>
      </c>
      <c r="Q28" s="121" t="s">
        <v>303</v>
      </c>
      <c r="R28" s="122" t="s">
        <v>55</v>
      </c>
      <c r="S28" s="122"/>
      <c r="T28" s="122" t="s">
        <v>305</v>
      </c>
      <c r="U28" s="123" t="s">
        <v>42</v>
      </c>
      <c r="V28" s="124" t="s">
        <v>306</v>
      </c>
      <c r="W28" s="125"/>
      <c r="X28" s="125" t="str">
        <f aca="false">IF(OR(W28="",F28=""),"",W28*F28)</f>
        <v/>
      </c>
    </row>
    <row r="29" customFormat="false" ht="32.8" hidden="false" customHeight="false" outlineLevel="0" collapsed="false">
      <c r="A29" s="126" t="n">
        <v>25</v>
      </c>
      <c r="B29" s="127" t="s">
        <v>307</v>
      </c>
      <c r="C29" s="128" t="s">
        <v>308</v>
      </c>
      <c r="D29" s="127" t="s">
        <v>309</v>
      </c>
      <c r="E29" s="127" t="s">
        <v>310</v>
      </c>
      <c r="F29" s="126" t="n">
        <v>2</v>
      </c>
      <c r="G29" s="126" t="s">
        <v>311</v>
      </c>
      <c r="H29" s="129" t="n">
        <v>0</v>
      </c>
      <c r="I29" s="129" t="n">
        <f aca="false">F29*H29</f>
        <v>0</v>
      </c>
      <c r="J29" s="127" t="s">
        <v>312</v>
      </c>
      <c r="K29" s="127" t="s">
        <v>313</v>
      </c>
      <c r="L29" s="127" t="s">
        <v>314</v>
      </c>
      <c r="M29" s="127" t="s">
        <v>273</v>
      </c>
      <c r="N29" s="130" t="s">
        <v>315</v>
      </c>
      <c r="O29" s="130" t="s">
        <v>315</v>
      </c>
      <c r="P29" s="131" t="s">
        <v>124</v>
      </c>
      <c r="Q29" s="132" t="s">
        <v>316</v>
      </c>
      <c r="R29" s="133" t="s">
        <v>317</v>
      </c>
      <c r="S29" s="133" t="s">
        <v>40</v>
      </c>
      <c r="T29" s="133" t="s">
        <v>318</v>
      </c>
      <c r="U29" s="134" t="s">
        <v>42</v>
      </c>
      <c r="V29" s="135" t="s">
        <v>319</v>
      </c>
      <c r="W29" s="136" t="n">
        <v>389.13</v>
      </c>
      <c r="X29" s="136" t="n">
        <f aca="false">IF(OR(W29="",F29=""),"",W29*F29)</f>
        <v>778.26</v>
      </c>
    </row>
    <row r="30" customFormat="false" ht="32.8" hidden="false" customHeight="false" outlineLevel="0" collapsed="false">
      <c r="A30" s="126" t="n">
        <v>26</v>
      </c>
      <c r="B30" s="127" t="s">
        <v>307</v>
      </c>
      <c r="C30" s="128" t="s">
        <v>320</v>
      </c>
      <c r="D30" s="127" t="s">
        <v>321</v>
      </c>
      <c r="E30" s="127" t="s">
        <v>310</v>
      </c>
      <c r="F30" s="126" t="n">
        <v>1</v>
      </c>
      <c r="G30" s="126" t="s">
        <v>322</v>
      </c>
      <c r="H30" s="129" t="n">
        <v>0</v>
      </c>
      <c r="I30" s="129" t="n">
        <f aca="false">F30*H30</f>
        <v>0</v>
      </c>
      <c r="J30" s="127" t="s">
        <v>323</v>
      </c>
      <c r="K30" s="127" t="s">
        <v>324</v>
      </c>
      <c r="L30" s="127" t="s">
        <v>325</v>
      </c>
      <c r="M30" s="127" t="s">
        <v>273</v>
      </c>
      <c r="N30" s="130" t="s">
        <v>326</v>
      </c>
      <c r="O30" s="130" t="s">
        <v>326</v>
      </c>
      <c r="P30" s="131" t="s">
        <v>124</v>
      </c>
      <c r="Q30" s="132" t="s">
        <v>316</v>
      </c>
      <c r="R30" s="133" t="s">
        <v>317</v>
      </c>
      <c r="S30" s="133" t="s">
        <v>40</v>
      </c>
      <c r="T30" s="133" t="s">
        <v>318</v>
      </c>
      <c r="U30" s="134" t="s">
        <v>42</v>
      </c>
      <c r="V30" s="135" t="s">
        <v>327</v>
      </c>
      <c r="W30" s="136" t="n">
        <v>389.13</v>
      </c>
      <c r="X30" s="136" t="n">
        <f aca="false">IF(OR(W30="",F30=""),"",W30*F30)</f>
        <v>389.13</v>
      </c>
    </row>
    <row r="31" customFormat="false" ht="32.8" hidden="false" customHeight="false" outlineLevel="0" collapsed="false">
      <c r="A31" s="126" t="n">
        <v>27</v>
      </c>
      <c r="B31" s="127" t="s">
        <v>307</v>
      </c>
      <c r="C31" s="128" t="s">
        <v>328</v>
      </c>
      <c r="D31" s="127" t="s">
        <v>329</v>
      </c>
      <c r="E31" s="127" t="s">
        <v>310</v>
      </c>
      <c r="F31" s="126" t="n">
        <v>1</v>
      </c>
      <c r="G31" s="126" t="s">
        <v>330</v>
      </c>
      <c r="H31" s="129" t="n">
        <v>0</v>
      </c>
      <c r="I31" s="129" t="n">
        <f aca="false">F31*H31</f>
        <v>0</v>
      </c>
      <c r="J31" s="127" t="s">
        <v>331</v>
      </c>
      <c r="K31" s="127" t="s">
        <v>332</v>
      </c>
      <c r="L31" s="127" t="s">
        <v>333</v>
      </c>
      <c r="M31" s="127" t="s">
        <v>273</v>
      </c>
      <c r="N31" s="130" t="s">
        <v>334</v>
      </c>
      <c r="O31" s="130" t="s">
        <v>334</v>
      </c>
      <c r="P31" s="131" t="s">
        <v>124</v>
      </c>
      <c r="Q31" s="132" t="s">
        <v>335</v>
      </c>
      <c r="R31" s="133" t="s">
        <v>336</v>
      </c>
      <c r="S31" s="133" t="s">
        <v>40</v>
      </c>
      <c r="T31" s="133" t="s">
        <v>337</v>
      </c>
      <c r="U31" s="134" t="s">
        <v>42</v>
      </c>
      <c r="V31" s="135" t="s">
        <v>338</v>
      </c>
      <c r="W31" s="136" t="n">
        <v>179.12</v>
      </c>
      <c r="X31" s="136" t="n">
        <f aca="false">IF(OR(W31="",F31=""),"",W31*F31)</f>
        <v>179.12</v>
      </c>
    </row>
    <row r="32" customFormat="false" ht="32.8" hidden="false" customHeight="false" outlineLevel="0" collapsed="false">
      <c r="A32" s="126" t="n">
        <v>28</v>
      </c>
      <c r="B32" s="127" t="s">
        <v>307</v>
      </c>
      <c r="C32" s="128" t="s">
        <v>339</v>
      </c>
      <c r="D32" s="127" t="s">
        <v>340</v>
      </c>
      <c r="E32" s="127" t="s">
        <v>341</v>
      </c>
      <c r="F32" s="126" t="n">
        <v>1</v>
      </c>
      <c r="G32" s="126" t="s">
        <v>342</v>
      </c>
      <c r="H32" s="129" t="n">
        <v>0</v>
      </c>
      <c r="I32" s="129" t="n">
        <f aca="false">F32*H32</f>
        <v>0</v>
      </c>
      <c r="J32" s="127" t="s">
        <v>343</v>
      </c>
      <c r="K32" s="127" t="s">
        <v>313</v>
      </c>
      <c r="L32" s="127" t="s">
        <v>344</v>
      </c>
      <c r="M32" s="127" t="s">
        <v>345</v>
      </c>
      <c r="N32" s="130" t="s">
        <v>346</v>
      </c>
      <c r="O32" s="130" t="s">
        <v>346</v>
      </c>
      <c r="P32" s="131" t="s">
        <v>124</v>
      </c>
      <c r="Q32" s="132" t="s">
        <v>347</v>
      </c>
      <c r="R32" s="133" t="s">
        <v>348</v>
      </c>
      <c r="S32" s="133" t="s">
        <v>40</v>
      </c>
      <c r="T32" s="133" t="s">
        <v>349</v>
      </c>
      <c r="U32" s="134" t="s">
        <v>42</v>
      </c>
      <c r="V32" s="135" t="s">
        <v>350</v>
      </c>
      <c r="W32" s="136" t="n">
        <v>527.07</v>
      </c>
      <c r="X32" s="136" t="n">
        <f aca="false">IF(OR(W32="",F32=""),"",W32*F32)</f>
        <v>527.07</v>
      </c>
    </row>
    <row r="33" customFormat="false" ht="28.35" hidden="false" customHeight="false" outlineLevel="0" collapsed="false">
      <c r="A33" s="137" t="n">
        <v>29</v>
      </c>
      <c r="B33" s="138" t="s">
        <v>351</v>
      </c>
      <c r="C33" s="139" t="s">
        <v>352</v>
      </c>
      <c r="D33" s="138" t="s">
        <v>353</v>
      </c>
      <c r="E33" s="138" t="s">
        <v>354</v>
      </c>
      <c r="F33" s="137" t="n">
        <v>1</v>
      </c>
      <c r="G33" s="137" t="s">
        <v>118</v>
      </c>
      <c r="H33" s="140" t="n">
        <v>5</v>
      </c>
      <c r="I33" s="140" t="n">
        <f aca="false">F33*H33</f>
        <v>5</v>
      </c>
      <c r="J33" s="138" t="s">
        <v>355</v>
      </c>
      <c r="K33" s="138" t="s">
        <v>356</v>
      </c>
      <c r="L33" s="138" t="s">
        <v>357</v>
      </c>
      <c r="M33" s="138" t="s">
        <v>273</v>
      </c>
      <c r="N33" s="141" t="s">
        <v>358</v>
      </c>
      <c r="O33" s="141" t="s">
        <v>358</v>
      </c>
      <c r="P33" s="142" t="s">
        <v>359</v>
      </c>
      <c r="Q33" s="143" t="s">
        <v>346</v>
      </c>
      <c r="R33" s="144" t="s">
        <v>55</v>
      </c>
      <c r="S33" s="144"/>
      <c r="T33" s="144" t="s">
        <v>360</v>
      </c>
      <c r="U33" s="145" t="s">
        <v>42</v>
      </c>
      <c r="V33" s="146" t="s">
        <v>361</v>
      </c>
      <c r="W33" s="147"/>
      <c r="X33" s="147" t="str">
        <f aca="false">IF(OR(W33="",F33=""),"",W33*F33)</f>
        <v/>
      </c>
    </row>
    <row r="34" customFormat="false" ht="28.35" hidden="false" customHeight="false" outlineLevel="0" collapsed="false">
      <c r="A34" s="137" t="n">
        <v>30</v>
      </c>
      <c r="B34" s="138" t="s">
        <v>351</v>
      </c>
      <c r="C34" s="139" t="s">
        <v>362</v>
      </c>
      <c r="D34" s="138" t="s">
        <v>363</v>
      </c>
      <c r="E34" s="138" t="s">
        <v>354</v>
      </c>
      <c r="F34" s="137" t="n">
        <v>1</v>
      </c>
      <c r="G34" s="137" t="s">
        <v>118</v>
      </c>
      <c r="H34" s="140" t="n">
        <v>4</v>
      </c>
      <c r="I34" s="140" t="n">
        <f aca="false">F34*H34</f>
        <v>4</v>
      </c>
      <c r="J34" s="138" t="s">
        <v>364</v>
      </c>
      <c r="K34" s="138" t="s">
        <v>356</v>
      </c>
      <c r="L34" s="138" t="s">
        <v>365</v>
      </c>
      <c r="M34" s="138" t="s">
        <v>273</v>
      </c>
      <c r="N34" s="141" t="s">
        <v>366</v>
      </c>
      <c r="O34" s="141" t="s">
        <v>366</v>
      </c>
      <c r="P34" s="142" t="s">
        <v>367</v>
      </c>
      <c r="Q34" s="143" t="s">
        <v>368</v>
      </c>
      <c r="R34" s="144" t="s">
        <v>55</v>
      </c>
      <c r="S34" s="144"/>
      <c r="T34" s="144" t="s">
        <v>369</v>
      </c>
      <c r="U34" s="145" t="s">
        <v>42</v>
      </c>
      <c r="V34" s="146" t="s">
        <v>370</v>
      </c>
      <c r="W34" s="147"/>
      <c r="X34" s="147" t="str">
        <f aca="false">IF(OR(W34="",F34=""),"",W34*F34)</f>
        <v/>
      </c>
    </row>
    <row r="35" customFormat="false" ht="43.25" hidden="false" customHeight="false" outlineLevel="0" collapsed="false">
      <c r="A35" s="148" t="n">
        <v>31</v>
      </c>
      <c r="B35" s="149" t="s">
        <v>371</v>
      </c>
      <c r="C35" s="150" t="s">
        <v>372</v>
      </c>
      <c r="D35" s="149" t="s">
        <v>373</v>
      </c>
      <c r="E35" s="149" t="s">
        <v>103</v>
      </c>
      <c r="F35" s="148" t="n">
        <v>1</v>
      </c>
      <c r="G35" s="148" t="s">
        <v>118</v>
      </c>
      <c r="H35" s="151" t="n">
        <v>12</v>
      </c>
      <c r="I35" s="151" t="n">
        <f aca="false">F35*H35</f>
        <v>12</v>
      </c>
      <c r="J35" s="149" t="s">
        <v>374</v>
      </c>
      <c r="K35" s="149" t="s">
        <v>375</v>
      </c>
      <c r="L35" s="149" t="s">
        <v>376</v>
      </c>
      <c r="M35" s="149" t="s">
        <v>108</v>
      </c>
      <c r="N35" s="152" t="s">
        <v>377</v>
      </c>
      <c r="O35" s="152" t="s">
        <v>378</v>
      </c>
      <c r="P35" s="153" t="s">
        <v>379</v>
      </c>
      <c r="Q35" s="154" t="s">
        <v>380</v>
      </c>
      <c r="R35" s="155" t="s">
        <v>55</v>
      </c>
      <c r="S35" s="155"/>
      <c r="T35" s="155" t="s">
        <v>381</v>
      </c>
      <c r="U35" s="156" t="s">
        <v>42</v>
      </c>
      <c r="V35" s="157" t="s">
        <v>382</v>
      </c>
      <c r="W35" s="158"/>
      <c r="X35" s="158" t="str">
        <f aca="false">IF(OR(W35="",F35=""),"",W35*F35)</f>
        <v/>
      </c>
    </row>
    <row r="36" customFormat="false" ht="32.8" hidden="false" customHeight="false" outlineLevel="0" collapsed="false">
      <c r="A36" s="14" t="n">
        <v>32</v>
      </c>
      <c r="B36" s="15" t="s">
        <v>383</v>
      </c>
      <c r="C36" s="16" t="s">
        <v>384</v>
      </c>
      <c r="D36" s="15" t="s">
        <v>385</v>
      </c>
      <c r="E36" s="15" t="s">
        <v>284</v>
      </c>
      <c r="F36" s="14" t="n">
        <v>1</v>
      </c>
      <c r="G36" s="14" t="s">
        <v>386</v>
      </c>
      <c r="H36" s="17" t="n">
        <v>1</v>
      </c>
      <c r="I36" s="17" t="n">
        <f aca="false">F36*H36</f>
        <v>1</v>
      </c>
      <c r="J36" s="15" t="s">
        <v>387</v>
      </c>
      <c r="K36" s="15" t="s">
        <v>332</v>
      </c>
      <c r="L36" s="15" t="s">
        <v>388</v>
      </c>
      <c r="M36" s="15" t="s">
        <v>302</v>
      </c>
      <c r="N36" s="18" t="s">
        <v>389</v>
      </c>
      <c r="O36" s="18" t="s">
        <v>389</v>
      </c>
      <c r="P36" s="19" t="s">
        <v>148</v>
      </c>
      <c r="Q36" s="20" t="s">
        <v>390</v>
      </c>
      <c r="R36" s="21" t="s">
        <v>55</v>
      </c>
      <c r="S36" s="21"/>
      <c r="T36" s="21" t="s">
        <v>391</v>
      </c>
      <c r="U36" s="22" t="s">
        <v>42</v>
      </c>
      <c r="V36" s="23" t="s">
        <v>392</v>
      </c>
      <c r="W36" s="24"/>
      <c r="X36" s="24" t="str">
        <f aca="false">IF(OR(W36="",F36=""),"",W36*F36)</f>
        <v/>
      </c>
    </row>
    <row r="37" customFormat="false" ht="32.8" hidden="false" customHeight="false" outlineLevel="0" collapsed="false">
      <c r="A37" s="14" t="n">
        <v>33</v>
      </c>
      <c r="B37" s="15" t="s">
        <v>383</v>
      </c>
      <c r="C37" s="16" t="s">
        <v>393</v>
      </c>
      <c r="D37" s="15" t="s">
        <v>394</v>
      </c>
      <c r="E37" s="15" t="s">
        <v>395</v>
      </c>
      <c r="F37" s="14" t="n">
        <v>1</v>
      </c>
      <c r="G37" s="14" t="s">
        <v>396</v>
      </c>
      <c r="H37" s="17" t="n">
        <v>0</v>
      </c>
      <c r="I37" s="17" t="n">
        <f aca="false">F37*H37</f>
        <v>0</v>
      </c>
      <c r="J37" s="15" t="s">
        <v>397</v>
      </c>
      <c r="K37" s="15" t="s">
        <v>398</v>
      </c>
      <c r="L37" s="15" t="s">
        <v>399</v>
      </c>
      <c r="M37" s="15" t="s">
        <v>249</v>
      </c>
      <c r="N37" s="18" t="s">
        <v>400</v>
      </c>
      <c r="O37" s="18" t="s">
        <v>400</v>
      </c>
      <c r="P37" s="19" t="s">
        <v>401</v>
      </c>
      <c r="Q37" s="20" t="s">
        <v>402</v>
      </c>
      <c r="R37" s="21" t="s">
        <v>403</v>
      </c>
      <c r="S37" s="21" t="s">
        <v>40</v>
      </c>
      <c r="T37" s="21" t="s">
        <v>404</v>
      </c>
      <c r="U37" s="22" t="s">
        <v>42</v>
      </c>
      <c r="V37" s="23" t="s">
        <v>405</v>
      </c>
      <c r="W37" s="24" t="n">
        <v>2597.62</v>
      </c>
      <c r="X37" s="24" t="n">
        <f aca="false">IF(OR(W37="",F37=""),"",W37*F37)</f>
        <v>2597.62</v>
      </c>
    </row>
    <row r="38" customFormat="false" ht="32.8" hidden="false" customHeight="false" outlineLevel="0" collapsed="false">
      <c r="A38" s="159" t="n">
        <v>34</v>
      </c>
      <c r="B38" s="160" t="s">
        <v>406</v>
      </c>
      <c r="C38" s="161" t="s">
        <v>407</v>
      </c>
      <c r="D38" s="160" t="s">
        <v>408</v>
      </c>
      <c r="E38" s="160" t="s">
        <v>409</v>
      </c>
      <c r="F38" s="159" t="n">
        <v>1</v>
      </c>
      <c r="G38" s="159" t="s">
        <v>410</v>
      </c>
      <c r="H38" s="162" t="n">
        <v>15</v>
      </c>
      <c r="I38" s="162" t="n">
        <f aca="false">F38*H38</f>
        <v>15</v>
      </c>
      <c r="J38" s="160" t="s">
        <v>411</v>
      </c>
      <c r="K38" s="160" t="s">
        <v>412</v>
      </c>
      <c r="L38" s="160" t="s">
        <v>413</v>
      </c>
      <c r="M38" s="160" t="s">
        <v>273</v>
      </c>
      <c r="N38" s="163" t="s">
        <v>414</v>
      </c>
      <c r="O38" s="163" t="s">
        <v>414</v>
      </c>
      <c r="P38" s="164" t="s">
        <v>415</v>
      </c>
      <c r="Q38" s="165" t="s">
        <v>400</v>
      </c>
      <c r="R38" s="166" t="s">
        <v>55</v>
      </c>
      <c r="S38" s="166"/>
      <c r="T38" s="166" t="s">
        <v>416</v>
      </c>
      <c r="U38" s="167" t="s">
        <v>42</v>
      </c>
      <c r="V38" s="168" t="s">
        <v>417</v>
      </c>
      <c r="W38" s="169"/>
      <c r="X38" s="169" t="str">
        <f aca="false">IF(OR(W38="",F38=""),"",W38*F38)</f>
        <v/>
      </c>
    </row>
    <row r="39" customFormat="false" ht="32.8" hidden="false" customHeight="false" outlineLevel="0" collapsed="false">
      <c r="A39" s="159" t="n">
        <v>35</v>
      </c>
      <c r="B39" s="160" t="s">
        <v>406</v>
      </c>
      <c r="C39" s="161" t="s">
        <v>418</v>
      </c>
      <c r="D39" s="160" t="s">
        <v>419</v>
      </c>
      <c r="E39" s="160" t="s">
        <v>409</v>
      </c>
      <c r="F39" s="159" t="n">
        <v>1</v>
      </c>
      <c r="G39" s="159" t="s">
        <v>420</v>
      </c>
      <c r="H39" s="162" t="n">
        <v>0</v>
      </c>
      <c r="I39" s="162" t="n">
        <f aca="false">F39*H39</f>
        <v>0</v>
      </c>
      <c r="J39" s="160" t="s">
        <v>421</v>
      </c>
      <c r="K39" s="160" t="s">
        <v>422</v>
      </c>
      <c r="L39" s="160" t="s">
        <v>423</v>
      </c>
      <c r="M39" s="160" t="s">
        <v>273</v>
      </c>
      <c r="N39" s="163" t="s">
        <v>424</v>
      </c>
      <c r="O39" s="163" t="s">
        <v>424</v>
      </c>
      <c r="P39" s="164" t="s">
        <v>425</v>
      </c>
      <c r="Q39" s="165" t="s">
        <v>426</v>
      </c>
      <c r="R39" s="166" t="s">
        <v>55</v>
      </c>
      <c r="S39" s="166"/>
      <c r="T39" s="166" t="s">
        <v>427</v>
      </c>
      <c r="U39" s="167" t="s">
        <v>42</v>
      </c>
      <c r="V39" s="168" t="s">
        <v>428</v>
      </c>
      <c r="W39" s="169"/>
      <c r="X39" s="169" t="str">
        <f aca="false">IF(OR(W39="",F39=""),"",W39*F39)</f>
        <v/>
      </c>
    </row>
    <row r="40" customFormat="false" ht="55.2" hidden="false" customHeight="false" outlineLevel="0" collapsed="false">
      <c r="A40" s="170" t="n">
        <v>36</v>
      </c>
      <c r="B40" s="171" t="s">
        <v>429</v>
      </c>
      <c r="C40" s="172" t="s">
        <v>430</v>
      </c>
      <c r="D40" s="171" t="s">
        <v>431</v>
      </c>
      <c r="E40" s="171" t="s">
        <v>432</v>
      </c>
      <c r="F40" s="170" t="n">
        <v>4</v>
      </c>
      <c r="G40" s="170" t="s">
        <v>433</v>
      </c>
      <c r="H40" s="170" t="n">
        <v>0</v>
      </c>
      <c r="I40" s="170" t="n">
        <f aca="false">F40*H40</f>
        <v>0</v>
      </c>
      <c r="J40" s="171" t="s">
        <v>63</v>
      </c>
      <c r="K40" s="171" t="s">
        <v>434</v>
      </c>
      <c r="L40" s="171" t="s">
        <v>435</v>
      </c>
      <c r="M40" s="171" t="s">
        <v>273</v>
      </c>
      <c r="N40" s="173" t="s">
        <v>436</v>
      </c>
      <c r="O40" s="173" t="s">
        <v>436</v>
      </c>
      <c r="P40" s="174" t="s">
        <v>425</v>
      </c>
      <c r="Q40" s="175" t="s">
        <v>437</v>
      </c>
      <c r="R40" s="176" t="s">
        <v>55</v>
      </c>
      <c r="S40" s="176"/>
      <c r="T40" s="176" t="s">
        <v>438</v>
      </c>
      <c r="U40" s="177" t="s">
        <v>42</v>
      </c>
      <c r="V40" s="178" t="s">
        <v>439</v>
      </c>
      <c r="W40" s="179"/>
      <c r="X40" s="179" t="str">
        <f aca="false">IF(OR(W40="",F40=""),"",W40*F40)</f>
        <v/>
      </c>
    </row>
    <row r="41" customFormat="false" ht="32.8" hidden="false" customHeight="false" outlineLevel="0" collapsed="false">
      <c r="A41" s="170" t="n">
        <v>37</v>
      </c>
      <c r="B41" s="171" t="s">
        <v>429</v>
      </c>
      <c r="C41" s="172" t="s">
        <v>440</v>
      </c>
      <c r="D41" s="171" t="s">
        <v>441</v>
      </c>
      <c r="E41" s="171" t="s">
        <v>409</v>
      </c>
      <c r="F41" s="170" t="n">
        <v>1</v>
      </c>
      <c r="G41" s="170" t="s">
        <v>442</v>
      </c>
      <c r="H41" s="170" t="n">
        <v>0</v>
      </c>
      <c r="I41" s="170" t="n">
        <f aca="false">F41*H41</f>
        <v>0</v>
      </c>
      <c r="J41" s="171" t="s">
        <v>63</v>
      </c>
      <c r="K41" s="171" t="s">
        <v>443</v>
      </c>
      <c r="L41" s="171" t="s">
        <v>444</v>
      </c>
      <c r="M41" s="171" t="s">
        <v>273</v>
      </c>
      <c r="N41" s="173" t="s">
        <v>445</v>
      </c>
      <c r="O41" s="173" t="s">
        <v>445</v>
      </c>
      <c r="P41" s="174" t="s">
        <v>446</v>
      </c>
      <c r="Q41" s="175" t="s">
        <v>436</v>
      </c>
      <c r="R41" s="176" t="s">
        <v>55</v>
      </c>
      <c r="S41" s="176"/>
      <c r="T41" s="176" t="s">
        <v>447</v>
      </c>
      <c r="U41" s="177" t="s">
        <v>42</v>
      </c>
      <c r="V41" s="178" t="s">
        <v>448</v>
      </c>
      <c r="W41" s="179"/>
      <c r="X41" s="179" t="str">
        <f aca="false">IF(OR(W41="",F41=""),"",W41*F41)</f>
        <v/>
      </c>
    </row>
    <row r="42" customFormat="false" ht="28.35" hidden="false" customHeight="false" outlineLevel="0" collapsed="false">
      <c r="A42" s="180" t="n">
        <v>38</v>
      </c>
      <c r="B42" s="181" t="s">
        <v>429</v>
      </c>
      <c r="C42" s="182" t="s">
        <v>449</v>
      </c>
      <c r="D42" s="181" t="s">
        <v>450</v>
      </c>
      <c r="E42" s="181" t="s">
        <v>451</v>
      </c>
      <c r="F42" s="180" t="n">
        <v>1</v>
      </c>
      <c r="G42" s="180" t="s">
        <v>452</v>
      </c>
      <c r="H42" s="180" t="n">
        <v>0</v>
      </c>
      <c r="I42" s="180" t="n">
        <f aca="false">F42*H42</f>
        <v>0</v>
      </c>
      <c r="J42" s="181" t="s">
        <v>63</v>
      </c>
      <c r="K42" s="181" t="s">
        <v>453</v>
      </c>
      <c r="L42" s="181" t="s">
        <v>454</v>
      </c>
      <c r="M42" s="181" t="s">
        <v>249</v>
      </c>
      <c r="N42" s="183" t="s">
        <v>455</v>
      </c>
      <c r="O42" s="183" t="s">
        <v>455</v>
      </c>
      <c r="P42" s="184" t="s">
        <v>425</v>
      </c>
      <c r="Q42" s="185" t="s">
        <v>456</v>
      </c>
      <c r="R42" s="186" t="s">
        <v>55</v>
      </c>
      <c r="S42" s="186"/>
      <c r="T42" s="186" t="s">
        <v>457</v>
      </c>
      <c r="U42" s="177" t="s">
        <v>42</v>
      </c>
      <c r="V42" s="178" t="s">
        <v>458</v>
      </c>
      <c r="W42" s="179"/>
      <c r="X42" s="179" t="str">
        <f aca="false">IF(OR(W42="",F42=""),"",W42*F42)</f>
        <v/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T1"/>
    <mergeCell ref="A2:T2"/>
  </mergeCells>
  <conditionalFormatting sqref="P2:P39">
    <cfRule type="expression" priority="2" aboveAverage="0" equalAverage="0" bottom="0" percent="0" rank="0" text="" dxfId="23">
      <formula>ISNUMBER(SEARCH("TBD",P2))</formula>
    </cfRule>
    <cfRule type="expression" priority="3" aboveAverage="0" equalAverage="0" bottom="0" percent="0" rank="0" text="" dxfId="24">
      <formula>ISNUMBER(SEARCH("deferred",P2))</formula>
    </cfRule>
  </conditionalFormatting>
  <conditionalFormatting sqref="R2:R39">
    <cfRule type="expression" priority="4" aboveAverage="0" equalAverage="0" bottom="0" percent="0" rank="0" text="" dxfId="25">
      <formula>ISNUMBER(SEARCH("TBD",R2))</formula>
    </cfRule>
    <cfRule type="expression" priority="5" aboveAverage="0" equalAverage="0" bottom="0" percent="0" rank="0" text="" dxfId="26">
      <formula>ISNUMBER(SEARCH("deferred",R2))</formula>
    </cfRule>
  </conditionalFormatting>
  <conditionalFormatting sqref="R5:R42">
    <cfRule type="expression" priority="6" aboveAverage="0" equalAverage="0" bottom="0" percent="0" rank="0" text="" dxfId="27">
      <formula>OR(R5="RFQ",R5="TBD")</formula>
    </cfRule>
  </conditionalFormatting>
  <conditionalFormatting sqref="S5:S42">
    <cfRule type="expression" priority="7" aboveAverage="0" equalAverage="0" bottom="0" percent="0" rank="0" text="" dxfId="28">
      <formula>S5="THB"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1" min="1" style="0" width="20.17"/>
    <col collapsed="false" customWidth="true" hidden="false" outlineLevel="0" max="2" min="2" style="0" width="35.29"/>
    <col collapsed="false" customWidth="true" hidden="false" outlineLevel="0" max="3" min="3" style="0" width="20.17"/>
    <col collapsed="false" customWidth="true" hidden="false" outlineLevel="0" max="4" min="4" style="0" width="22.69"/>
    <col collapsed="false" customWidth="true" hidden="false" outlineLevel="0" max="5" min="5" style="0" width="17.64"/>
    <col collapsed="false" customWidth="true" hidden="false" outlineLevel="0" max="6" min="6" style="0" width="25.21"/>
    <col collapsed="false" customWidth="true" hidden="false" outlineLevel="0" max="7" min="7" style="0" width="35.29"/>
    <col collapsed="false" customWidth="true" hidden="false" outlineLevel="0" max="8" min="8" style="0" width="25.21"/>
    <col collapsed="false" customWidth="true" hidden="false" outlineLevel="0" max="9" min="9" style="0" width="20.17"/>
    <col collapsed="false" customWidth="true" hidden="false" outlineLevel="0" max="10" min="10" style="0" width="25.21"/>
    <col collapsed="false" customWidth="true" hidden="false" outlineLevel="0" max="12" min="12" style="0" width="35.29"/>
    <col collapsed="false" customWidth="true" hidden="false" outlineLevel="0" max="14" min="13" style="0" width="17.64"/>
  </cols>
  <sheetData>
    <row r="1" customFormat="false" ht="36" hidden="false" customHeight="true" outlineLevel="0" collapsed="false">
      <c r="A1" s="187" t="s">
        <v>459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customFormat="false" ht="15" hidden="false" customHeight="true" outlineLevel="0" collapsed="false">
      <c r="A2" s="188" t="s">
        <v>460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</row>
    <row r="3" customFormat="false" ht="15" hidden="false" customHeight="false" outlineLevel="0" collapsed="false">
      <c r="A3" s="8" t="s">
        <v>461</v>
      </c>
      <c r="B3" s="9" t="s">
        <v>462</v>
      </c>
      <c r="C3" s="9" t="s">
        <v>463</v>
      </c>
      <c r="D3" s="10" t="s">
        <v>464</v>
      </c>
      <c r="E3" s="189" t="s">
        <v>465</v>
      </c>
      <c r="F3" s="10" t="s">
        <v>466</v>
      </c>
      <c r="G3" s="10" t="s">
        <v>467</v>
      </c>
      <c r="H3" s="10" t="s">
        <v>468</v>
      </c>
      <c r="I3" s="10" t="s">
        <v>469</v>
      </c>
      <c r="J3" s="190" t="s">
        <v>351</v>
      </c>
      <c r="L3" s="8" t="s">
        <v>470</v>
      </c>
      <c r="M3" s="10"/>
      <c r="N3" s="190"/>
    </row>
    <row r="4" customFormat="false" ht="28" hidden="false" customHeight="true" outlineLevel="0" collapsed="false">
      <c r="A4" s="191" t="s">
        <v>471</v>
      </c>
      <c r="B4" s="191" t="s">
        <v>472</v>
      </c>
      <c r="C4" s="191" t="s">
        <v>473</v>
      </c>
      <c r="D4" s="192" t="n">
        <v>174</v>
      </c>
      <c r="E4" s="193" t="n">
        <v>0.25</v>
      </c>
      <c r="F4" s="192" t="n">
        <v>217.5</v>
      </c>
      <c r="G4" s="194" t="s">
        <v>474</v>
      </c>
      <c r="H4" s="192" t="n">
        <v>240</v>
      </c>
      <c r="I4" s="192" t="n">
        <v>22.5</v>
      </c>
      <c r="J4" s="195" t="s">
        <v>475</v>
      </c>
      <c r="L4" s="191" t="s">
        <v>476</v>
      </c>
      <c r="M4" s="194" t="n">
        <v>174</v>
      </c>
      <c r="N4" s="191" t="s">
        <v>477</v>
      </c>
    </row>
    <row r="5" customFormat="false" ht="28" hidden="false" customHeight="true" outlineLevel="0" collapsed="false">
      <c r="A5" s="191" t="s">
        <v>478</v>
      </c>
      <c r="B5" s="191" t="s">
        <v>479</v>
      </c>
      <c r="C5" s="191" t="s">
        <v>73</v>
      </c>
      <c r="D5" s="192" t="n">
        <f aca="false">'Full BOM'!I5</f>
        <v>40</v>
      </c>
      <c r="E5" s="195" t="n">
        <v>0.25</v>
      </c>
      <c r="F5" s="195" t="n">
        <f aca="false">D5*(1+E5)</f>
        <v>50</v>
      </c>
      <c r="G5" s="191" t="s">
        <v>480</v>
      </c>
      <c r="H5" s="195" t="n">
        <v>60</v>
      </c>
      <c r="I5" s="195" t="n">
        <f aca="false">IF(H5=0,"",H5-F5)</f>
        <v>10</v>
      </c>
      <c r="J5" s="195" t="str">
        <f aca="false">IF(H5&gt;=F5,"OK","UPSIZE")</f>
        <v>OK</v>
      </c>
      <c r="L5" s="191" t="s">
        <v>481</v>
      </c>
      <c r="M5" s="194" t="n">
        <v>217.5</v>
      </c>
      <c r="N5" s="191" t="s">
        <v>477</v>
      </c>
    </row>
    <row r="6" customFormat="false" ht="28" hidden="false" customHeight="true" outlineLevel="0" collapsed="false">
      <c r="A6" s="191" t="s">
        <v>482</v>
      </c>
      <c r="B6" s="191" t="s">
        <v>483</v>
      </c>
      <c r="C6" s="191" t="s">
        <v>484</v>
      </c>
      <c r="D6" s="195" t="n">
        <f aca="false">'Full BOM'!I6+'Full BOM'!I7+'Full BOM'!I8</f>
        <v>1625</v>
      </c>
      <c r="E6" s="195" t="n">
        <v>0.2</v>
      </c>
      <c r="F6" s="195" t="n">
        <f aca="false">D6*(1+E6)</f>
        <v>1950</v>
      </c>
      <c r="G6" s="191" t="s">
        <v>485</v>
      </c>
      <c r="H6" s="195" t="n">
        <v>0</v>
      </c>
      <c r="I6" s="195" t="str">
        <f aca="false">IF(H6=0,"",H6-F6)</f>
        <v/>
      </c>
      <c r="J6" s="195" t="s">
        <v>486</v>
      </c>
      <c r="L6" s="191" t="s">
        <v>487</v>
      </c>
      <c r="M6" s="194" t="n">
        <f aca="false">D5</f>
        <v>40</v>
      </c>
      <c r="N6" s="191" t="s">
        <v>477</v>
      </c>
    </row>
    <row r="7" customFormat="false" ht="15" hidden="false" customHeight="false" outlineLevel="0" collapsed="false">
      <c r="L7" s="191" t="s">
        <v>488</v>
      </c>
      <c r="M7" s="191" t="n">
        <f aca="false">D6</f>
        <v>1625</v>
      </c>
      <c r="N7" s="191" t="s">
        <v>477</v>
      </c>
    </row>
    <row r="8" customFormat="false" ht="14.9" hidden="false" customHeight="false" outlineLevel="0" collapsed="false">
      <c r="L8" s="191" t="s">
        <v>489</v>
      </c>
      <c r="M8" s="191" t="s">
        <v>233</v>
      </c>
      <c r="N8" s="191" t="s">
        <v>490</v>
      </c>
    </row>
  </sheetData>
  <mergeCells count="3">
    <mergeCell ref="A1:N1"/>
    <mergeCell ref="L1:N1"/>
    <mergeCell ref="A2:N2"/>
  </mergeCells>
  <conditionalFormatting sqref="J2:J3">
    <cfRule type="expression" priority="2" aboveAverage="0" equalAverage="0" bottom="0" percent="0" rank="0" text="" dxfId="29">
      <formula>J2="OK"</formula>
    </cfRule>
    <cfRule type="expression" priority="3" aboveAverage="0" equalAverage="0" bottom="0" percent="0" rank="0" text="" dxfId="30">
      <formula>J2="UPSIZE"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3" min="1" style="0" width="23.95"/>
    <col collapsed="false" customWidth="true" hidden="false" outlineLevel="0" max="4" min="4" style="0" width="28.98"/>
    <col collapsed="false" customWidth="true" hidden="false" outlineLevel="0" max="5" min="5" style="0" width="34.03"/>
    <col collapsed="false" customWidth="true" hidden="false" outlineLevel="0" max="6" min="6" style="0" width="20.17"/>
    <col collapsed="false" customWidth="true" hidden="false" outlineLevel="0" max="7" min="7" style="0" width="28.98"/>
    <col collapsed="false" customWidth="true" hidden="false" outlineLevel="0" max="8" min="8" style="0" width="23.95"/>
    <col collapsed="false" customWidth="true" hidden="false" outlineLevel="0" max="9" min="9" style="0" width="36.55"/>
  </cols>
  <sheetData>
    <row r="1" customFormat="false" ht="36" hidden="false" customHeight="true" outlineLevel="0" collapsed="false">
      <c r="A1" s="187" t="s">
        <v>491</v>
      </c>
      <c r="B1" s="187"/>
      <c r="C1" s="187"/>
      <c r="D1" s="187"/>
      <c r="E1" s="187"/>
      <c r="F1" s="187"/>
      <c r="G1" s="187"/>
      <c r="H1" s="187"/>
      <c r="I1" s="187"/>
    </row>
    <row r="2" customFormat="false" ht="15" hidden="false" customHeight="true" outlineLevel="0" collapsed="false">
      <c r="A2" s="188" t="s">
        <v>492</v>
      </c>
      <c r="B2" s="188"/>
      <c r="C2" s="188"/>
      <c r="D2" s="188"/>
      <c r="E2" s="188"/>
      <c r="F2" s="188"/>
      <c r="G2" s="188"/>
      <c r="H2" s="188"/>
      <c r="I2" s="188"/>
    </row>
    <row r="3" customFormat="false" ht="15" hidden="false" customHeight="false" outlineLevel="0" collapsed="false">
      <c r="A3" s="191"/>
      <c r="B3" s="191"/>
      <c r="C3" s="191"/>
      <c r="D3" s="191"/>
      <c r="E3" s="191"/>
      <c r="F3" s="191"/>
      <c r="G3" s="191"/>
      <c r="H3" s="191"/>
      <c r="I3" s="191"/>
    </row>
    <row r="4" customFormat="false" ht="15" hidden="false" customHeight="false" outlineLevel="0" collapsed="false">
      <c r="A4" s="8" t="s">
        <v>493</v>
      </c>
      <c r="B4" s="9" t="s">
        <v>494</v>
      </c>
      <c r="C4" s="9" t="s">
        <v>495</v>
      </c>
      <c r="D4" s="9" t="s">
        <v>496</v>
      </c>
      <c r="E4" s="9" t="s">
        <v>497</v>
      </c>
      <c r="F4" s="9" t="s">
        <v>498</v>
      </c>
      <c r="G4" s="9" t="s">
        <v>499</v>
      </c>
      <c r="H4" s="9" t="s">
        <v>500</v>
      </c>
      <c r="I4" s="190" t="s">
        <v>23</v>
      </c>
    </row>
    <row r="5" customFormat="false" ht="15" hidden="false" customHeight="false" outlineLevel="0" collapsed="false">
      <c r="A5" s="196" t="s">
        <v>210</v>
      </c>
      <c r="B5" s="196" t="s">
        <v>501</v>
      </c>
      <c r="C5" s="196" t="s">
        <v>502</v>
      </c>
      <c r="D5" s="196" t="s">
        <v>503</v>
      </c>
      <c r="E5" s="196" t="s">
        <v>504</v>
      </c>
      <c r="F5" s="196" t="s">
        <v>505</v>
      </c>
      <c r="G5" s="196" t="s">
        <v>63</v>
      </c>
      <c r="H5" s="196" t="s">
        <v>506</v>
      </c>
      <c r="I5" s="196" t="s">
        <v>507</v>
      </c>
    </row>
    <row r="6" customFormat="false" ht="35.05" hidden="false" customHeight="false" outlineLevel="0" collapsed="false">
      <c r="A6" s="26" t="s">
        <v>508</v>
      </c>
      <c r="B6" s="26" t="s">
        <v>210</v>
      </c>
      <c r="C6" s="26" t="s">
        <v>502</v>
      </c>
      <c r="D6" s="26" t="s">
        <v>509</v>
      </c>
      <c r="E6" s="26" t="s">
        <v>510</v>
      </c>
      <c r="F6" s="26" t="s">
        <v>511</v>
      </c>
      <c r="G6" s="26" t="s">
        <v>63</v>
      </c>
      <c r="H6" s="26" t="s">
        <v>512</v>
      </c>
      <c r="I6" s="26" t="s">
        <v>513</v>
      </c>
    </row>
    <row r="7" customFormat="false" ht="35.05" hidden="false" customHeight="false" outlineLevel="0" collapsed="false">
      <c r="A7" s="26" t="s">
        <v>514</v>
      </c>
      <c r="B7" s="26" t="s">
        <v>210</v>
      </c>
      <c r="C7" s="26" t="s">
        <v>502</v>
      </c>
      <c r="D7" s="26" t="s">
        <v>509</v>
      </c>
      <c r="E7" s="26" t="s">
        <v>510</v>
      </c>
      <c r="F7" s="26" t="s">
        <v>511</v>
      </c>
      <c r="G7" s="26" t="s">
        <v>63</v>
      </c>
      <c r="H7" s="26" t="s">
        <v>512</v>
      </c>
      <c r="I7" s="26" t="s">
        <v>515</v>
      </c>
    </row>
    <row r="8" customFormat="false" ht="15" hidden="false" customHeight="false" outlineLevel="0" collapsed="false">
      <c r="A8" s="196" t="s">
        <v>516</v>
      </c>
      <c r="B8" s="196" t="s">
        <v>210</v>
      </c>
      <c r="C8" s="196" t="s">
        <v>517</v>
      </c>
      <c r="D8" s="196" t="s">
        <v>518</v>
      </c>
      <c r="E8" s="196" t="s">
        <v>519</v>
      </c>
      <c r="F8" s="196" t="s">
        <v>520</v>
      </c>
      <c r="G8" s="196" t="s">
        <v>521</v>
      </c>
      <c r="H8" s="196" t="s">
        <v>522</v>
      </c>
      <c r="I8" s="196" t="s">
        <v>523</v>
      </c>
    </row>
    <row r="9" customFormat="false" ht="15" hidden="false" customHeight="false" outlineLevel="0" collapsed="false">
      <c r="A9" s="196" t="s">
        <v>210</v>
      </c>
      <c r="B9" s="196" t="s">
        <v>46</v>
      </c>
      <c r="C9" s="196" t="s">
        <v>524</v>
      </c>
      <c r="D9" s="196" t="s">
        <v>525</v>
      </c>
      <c r="E9" s="196" t="s">
        <v>526</v>
      </c>
      <c r="F9" s="196" t="s">
        <v>527</v>
      </c>
      <c r="G9" s="196" t="s">
        <v>528</v>
      </c>
      <c r="H9" s="196" t="s">
        <v>522</v>
      </c>
      <c r="I9" s="196" t="s">
        <v>529</v>
      </c>
    </row>
    <row r="10" customFormat="false" ht="15" hidden="false" customHeight="false" outlineLevel="0" collapsed="false">
      <c r="A10" s="196" t="s">
        <v>46</v>
      </c>
      <c r="B10" s="196" t="s">
        <v>530</v>
      </c>
      <c r="C10" s="196" t="s">
        <v>531</v>
      </c>
      <c r="D10" s="196" t="s">
        <v>532</v>
      </c>
      <c r="E10" s="196" t="s">
        <v>533</v>
      </c>
      <c r="F10" s="196" t="s">
        <v>534</v>
      </c>
      <c r="G10" s="196" t="s">
        <v>535</v>
      </c>
      <c r="H10" s="196" t="s">
        <v>536</v>
      </c>
      <c r="I10" s="196" t="s">
        <v>537</v>
      </c>
    </row>
    <row r="11" customFormat="false" ht="15" hidden="false" customHeight="false" outlineLevel="0" collapsed="false">
      <c r="A11" s="196" t="s">
        <v>46</v>
      </c>
      <c r="B11" s="196" t="s">
        <v>538</v>
      </c>
      <c r="C11" s="196" t="s">
        <v>531</v>
      </c>
      <c r="D11" s="196" t="s">
        <v>532</v>
      </c>
      <c r="E11" s="196" t="s">
        <v>533</v>
      </c>
      <c r="F11" s="196" t="s">
        <v>534</v>
      </c>
      <c r="G11" s="196" t="s">
        <v>535</v>
      </c>
      <c r="H11" s="196" t="s">
        <v>536</v>
      </c>
      <c r="I11" s="196" t="s">
        <v>537</v>
      </c>
    </row>
    <row r="12" customFormat="false" ht="15" hidden="false" customHeight="false" outlineLevel="0" collapsed="false">
      <c r="A12" s="26" t="s">
        <v>539</v>
      </c>
      <c r="B12" s="26" t="s">
        <v>540</v>
      </c>
      <c r="C12" s="26" t="s">
        <v>541</v>
      </c>
      <c r="D12" s="26" t="s">
        <v>542</v>
      </c>
      <c r="E12" s="26" t="s">
        <v>543</v>
      </c>
      <c r="F12" s="26" t="s">
        <v>522</v>
      </c>
      <c r="G12" s="26" t="s">
        <v>544</v>
      </c>
      <c r="H12" s="26" t="s">
        <v>545</v>
      </c>
      <c r="I12" s="26" t="s">
        <v>546</v>
      </c>
    </row>
    <row r="13" customFormat="false" ht="15" hidden="false" customHeight="false" outlineLevel="0" collapsed="false">
      <c r="A13" s="26" t="s">
        <v>547</v>
      </c>
      <c r="B13" s="26" t="s">
        <v>548</v>
      </c>
      <c r="C13" s="26" t="s">
        <v>549</v>
      </c>
      <c r="D13" s="26" t="s">
        <v>550</v>
      </c>
      <c r="E13" s="26" t="s">
        <v>551</v>
      </c>
      <c r="F13" s="26" t="s">
        <v>522</v>
      </c>
      <c r="G13" s="26" t="s">
        <v>63</v>
      </c>
      <c r="H13" s="26" t="s">
        <v>522</v>
      </c>
      <c r="I13" s="26" t="s">
        <v>552</v>
      </c>
    </row>
    <row r="14" customFormat="false" ht="15" hidden="false" customHeight="false" outlineLevel="0" collapsed="false">
      <c r="A14" s="196" t="s">
        <v>553</v>
      </c>
      <c r="B14" s="196" t="s">
        <v>501</v>
      </c>
      <c r="C14" s="196" t="s">
        <v>502</v>
      </c>
      <c r="D14" s="196" t="s">
        <v>554</v>
      </c>
      <c r="E14" s="196" t="s">
        <v>555</v>
      </c>
      <c r="F14" s="196" t="s">
        <v>520</v>
      </c>
      <c r="G14" s="196" t="s">
        <v>63</v>
      </c>
      <c r="H14" s="196" t="s">
        <v>522</v>
      </c>
      <c r="I14" s="196" t="s">
        <v>556</v>
      </c>
    </row>
    <row r="15" customFormat="false" ht="15" hidden="false" customHeight="false" outlineLevel="0" collapsed="false">
      <c r="A15" s="196" t="s">
        <v>557</v>
      </c>
      <c r="B15" s="196" t="s">
        <v>558</v>
      </c>
      <c r="C15" s="196" t="s">
        <v>559</v>
      </c>
      <c r="D15" s="196" t="s">
        <v>560</v>
      </c>
      <c r="E15" s="196" t="s">
        <v>561</v>
      </c>
      <c r="F15" s="196" t="s">
        <v>520</v>
      </c>
      <c r="G15" s="196" t="s">
        <v>562</v>
      </c>
      <c r="H15" s="196" t="s">
        <v>522</v>
      </c>
      <c r="I15" s="196" t="s">
        <v>563</v>
      </c>
    </row>
    <row r="16" customFormat="false" ht="15" hidden="false" customHeight="false" outlineLevel="0" collapsed="false">
      <c r="A16" s="196" t="s">
        <v>564</v>
      </c>
      <c r="B16" s="196" t="s">
        <v>565</v>
      </c>
      <c r="C16" s="196" t="s">
        <v>566</v>
      </c>
      <c r="D16" s="196" t="s">
        <v>567</v>
      </c>
      <c r="E16" s="196" t="s">
        <v>568</v>
      </c>
      <c r="F16" s="196" t="s">
        <v>569</v>
      </c>
      <c r="G16" s="196" t="s">
        <v>570</v>
      </c>
      <c r="H16" s="196" t="s">
        <v>571</v>
      </c>
      <c r="I16" s="196" t="s">
        <v>572</v>
      </c>
    </row>
    <row r="17" customFormat="false" ht="15" hidden="false" customHeight="false" outlineLevel="0" collapsed="false">
      <c r="A17" s="196" t="s">
        <v>573</v>
      </c>
      <c r="B17" s="196" t="s">
        <v>574</v>
      </c>
      <c r="C17" s="196" t="s">
        <v>575</v>
      </c>
      <c r="D17" s="196" t="s">
        <v>567</v>
      </c>
      <c r="E17" s="196" t="s">
        <v>576</v>
      </c>
      <c r="F17" s="196" t="s">
        <v>577</v>
      </c>
      <c r="G17" s="196" t="s">
        <v>578</v>
      </c>
      <c r="H17" s="196" t="s">
        <v>579</v>
      </c>
      <c r="I17" s="196" t="s">
        <v>580</v>
      </c>
    </row>
    <row r="18" customFormat="false" ht="15" hidden="false" customHeight="false" outlineLevel="0" collapsed="false">
      <c r="A18" s="197" t="s">
        <v>581</v>
      </c>
      <c r="B18" s="197" t="s">
        <v>582</v>
      </c>
      <c r="C18" s="197" t="s">
        <v>583</v>
      </c>
      <c r="D18" s="197" t="s">
        <v>584</v>
      </c>
      <c r="E18" s="197" t="s">
        <v>585</v>
      </c>
      <c r="F18" s="197" t="s">
        <v>586</v>
      </c>
      <c r="G18" s="197" t="s">
        <v>63</v>
      </c>
      <c r="H18" s="197" t="s">
        <v>522</v>
      </c>
      <c r="I18" s="197" t="s">
        <v>587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I1"/>
    <mergeCell ref="A2:I2"/>
  </mergeCells>
  <conditionalFormatting sqref="F2:F15">
    <cfRule type="expression" priority="2" aboveAverage="0" equalAverage="0" bottom="0" percent="0" rank="0" text="" dxfId="34">
      <formula>F2="Yes"</formula>
    </cfRule>
  </conditionalFormatting>
  <conditionalFormatting sqref="H2:H15">
    <cfRule type="expression" priority="3" aboveAverage="0" equalAverage="0" bottom="0" percent="0" rank="0" text="" dxfId="35">
      <formula>ISNUMBER(SEARCH("Unconfirmed",H2))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1" min="1" style="0" width="27.73"/>
    <col collapsed="false" customWidth="true" hidden="false" outlineLevel="0" max="2" min="2" style="0" width="37.83"/>
    <col collapsed="false" customWidth="true" hidden="false" outlineLevel="0" max="3" min="3" style="0" width="52.92"/>
    <col collapsed="false" customWidth="true" hidden="false" outlineLevel="0" max="4" min="4" style="0" width="50.41"/>
    <col collapsed="false" customWidth="true" hidden="false" outlineLevel="0" max="5" min="5" style="0" width="20.17"/>
    <col collapsed="false" customWidth="true" hidden="false" outlineLevel="0" max="6" min="6" style="0" width="15.12"/>
  </cols>
  <sheetData>
    <row r="1" customFormat="false" ht="36" hidden="false" customHeight="true" outlineLevel="0" collapsed="false">
      <c r="A1" s="187" t="s">
        <v>588</v>
      </c>
      <c r="B1" s="187"/>
      <c r="C1" s="187"/>
      <c r="D1" s="187"/>
      <c r="E1" s="187"/>
      <c r="F1" s="187"/>
    </row>
    <row r="2" customFormat="false" ht="15" hidden="false" customHeight="false" outlineLevel="0" collapsed="false">
      <c r="A2" s="8" t="s">
        <v>589</v>
      </c>
      <c r="B2" s="9" t="s">
        <v>590</v>
      </c>
      <c r="C2" s="9" t="s">
        <v>591</v>
      </c>
      <c r="D2" s="9" t="s">
        <v>592</v>
      </c>
      <c r="E2" s="9" t="s">
        <v>593</v>
      </c>
      <c r="F2" s="190" t="s">
        <v>594</v>
      </c>
    </row>
    <row r="3" customFormat="false" ht="23.85" hidden="false" customHeight="false" outlineLevel="0" collapsed="false">
      <c r="A3" s="198" t="s">
        <v>574</v>
      </c>
      <c r="B3" s="198" t="s">
        <v>595</v>
      </c>
      <c r="C3" s="198" t="s">
        <v>596</v>
      </c>
      <c r="D3" s="198" t="s">
        <v>597</v>
      </c>
      <c r="E3" s="198" t="s">
        <v>598</v>
      </c>
      <c r="F3" s="198" t="s">
        <v>599</v>
      </c>
    </row>
    <row r="4" customFormat="false" ht="15" hidden="false" customHeight="false" outlineLevel="0" collapsed="false">
      <c r="A4" s="198" t="s">
        <v>600</v>
      </c>
      <c r="B4" s="198" t="s">
        <v>601</v>
      </c>
      <c r="C4" s="198" t="s">
        <v>602</v>
      </c>
      <c r="D4" s="198" t="s">
        <v>603</v>
      </c>
      <c r="E4" s="198" t="s">
        <v>598</v>
      </c>
      <c r="F4" s="198" t="s">
        <v>604</v>
      </c>
    </row>
    <row r="5" customFormat="false" ht="23.85" hidden="false" customHeight="false" outlineLevel="0" collapsed="false">
      <c r="A5" s="198" t="s">
        <v>605</v>
      </c>
      <c r="B5" s="198" t="s">
        <v>606</v>
      </c>
      <c r="C5" s="198" t="s">
        <v>607</v>
      </c>
      <c r="D5" s="198" t="s">
        <v>608</v>
      </c>
      <c r="E5" s="198" t="s">
        <v>609</v>
      </c>
      <c r="F5" s="198" t="s">
        <v>599</v>
      </c>
    </row>
    <row r="6" customFormat="false" ht="15" hidden="false" customHeight="false" outlineLevel="0" collapsed="false">
      <c r="A6" s="198" t="s">
        <v>610</v>
      </c>
      <c r="B6" s="198" t="s">
        <v>611</v>
      </c>
      <c r="C6" s="198" t="s">
        <v>612</v>
      </c>
      <c r="D6" s="198" t="s">
        <v>613</v>
      </c>
      <c r="E6" s="198" t="s">
        <v>44</v>
      </c>
      <c r="F6" s="198" t="s">
        <v>599</v>
      </c>
    </row>
    <row r="7" customFormat="false" ht="23.85" hidden="false" customHeight="false" outlineLevel="0" collapsed="false">
      <c r="A7" s="198" t="s">
        <v>614</v>
      </c>
      <c r="B7" s="198" t="s">
        <v>615</v>
      </c>
      <c r="C7" s="198" t="s">
        <v>616</v>
      </c>
      <c r="D7" s="198" t="s">
        <v>617</v>
      </c>
      <c r="E7" s="198" t="s">
        <v>618</v>
      </c>
      <c r="F7" s="198" t="s">
        <v>604</v>
      </c>
    </row>
    <row r="8" customFormat="false" ht="35.05" hidden="false" customHeight="false" outlineLevel="0" collapsed="false">
      <c r="A8" s="198" t="s">
        <v>619</v>
      </c>
      <c r="B8" s="198" t="s">
        <v>620</v>
      </c>
      <c r="C8" s="198" t="s">
        <v>621</v>
      </c>
      <c r="D8" s="198" t="s">
        <v>622</v>
      </c>
      <c r="E8" s="198" t="s">
        <v>623</v>
      </c>
      <c r="F8" s="198" t="s">
        <v>599</v>
      </c>
    </row>
    <row r="9" customFormat="false" ht="15" hidden="false" customHeight="false" outlineLevel="0" collapsed="false">
      <c r="A9" s="198" t="s">
        <v>624</v>
      </c>
      <c r="B9" s="198" t="s">
        <v>625</v>
      </c>
      <c r="C9" s="198" t="s">
        <v>626</v>
      </c>
      <c r="D9" s="198" t="s">
        <v>627</v>
      </c>
      <c r="E9" s="198" t="s">
        <v>623</v>
      </c>
      <c r="F9" s="198" t="s">
        <v>604</v>
      </c>
    </row>
    <row r="10" customFormat="false" ht="15" hidden="false" customHeight="false" outlineLevel="0" collapsed="false">
      <c r="A10" s="198" t="s">
        <v>628</v>
      </c>
      <c r="B10" s="198" t="s">
        <v>221</v>
      </c>
      <c r="C10" s="198" t="s">
        <v>629</v>
      </c>
      <c r="D10" s="198" t="s">
        <v>630</v>
      </c>
      <c r="E10" s="198" t="s">
        <v>429</v>
      </c>
      <c r="F10" s="198" t="s">
        <v>631</v>
      </c>
    </row>
    <row r="11" customFormat="false" ht="15" hidden="false" customHeight="false" outlineLevel="0" collapsed="false">
      <c r="A11" s="198" t="s">
        <v>632</v>
      </c>
      <c r="B11" s="198" t="s">
        <v>633</v>
      </c>
      <c r="C11" s="198" t="s">
        <v>634</v>
      </c>
      <c r="D11" s="198" t="s">
        <v>635</v>
      </c>
      <c r="E11" s="198" t="s">
        <v>632</v>
      </c>
      <c r="F11" s="198" t="s">
        <v>604</v>
      </c>
    </row>
    <row r="12" customFormat="false" ht="15" hidden="false" customHeight="false" outlineLevel="0" collapsed="false">
      <c r="A12" s="199" t="s">
        <v>636</v>
      </c>
      <c r="B12" s="199" t="s">
        <v>637</v>
      </c>
      <c r="C12" s="199" t="s">
        <v>638</v>
      </c>
      <c r="D12" s="199" t="s">
        <v>639</v>
      </c>
      <c r="E12" s="199" t="s">
        <v>632</v>
      </c>
      <c r="F12" s="199" t="s">
        <v>604</v>
      </c>
    </row>
    <row r="13" customFormat="false" ht="15" hidden="false" customHeight="false" outlineLevel="0" collapsed="false">
      <c r="A13" s="0" t="s">
        <v>640</v>
      </c>
      <c r="B13" s="0" t="s">
        <v>641</v>
      </c>
      <c r="C13" s="0" t="s">
        <v>642</v>
      </c>
      <c r="D13" s="0" t="s">
        <v>643</v>
      </c>
      <c r="E13" s="0" t="s">
        <v>644</v>
      </c>
      <c r="F13" s="0" t="s">
        <v>599</v>
      </c>
    </row>
    <row r="14" customFormat="false" ht="15" hidden="false" customHeight="false" outlineLevel="0" collapsed="false">
      <c r="A14" s="0" t="s">
        <v>645</v>
      </c>
      <c r="B14" s="0" t="s">
        <v>646</v>
      </c>
      <c r="C14" s="0" t="s">
        <v>647</v>
      </c>
      <c r="D14" s="0" t="s">
        <v>648</v>
      </c>
      <c r="E14" s="0" t="s">
        <v>649</v>
      </c>
      <c r="F14" s="0" t="s">
        <v>604</v>
      </c>
    </row>
    <row r="15" customFormat="false" ht="15" hidden="false" customHeight="false" outlineLevel="0" collapsed="false">
      <c r="A15" s="0" t="s">
        <v>650</v>
      </c>
      <c r="B15" s="0" t="s">
        <v>651</v>
      </c>
      <c r="C15" s="0" t="s">
        <v>652</v>
      </c>
      <c r="D15" s="0" t="s">
        <v>653</v>
      </c>
      <c r="E15" s="0" t="s">
        <v>654</v>
      </c>
      <c r="F15" s="0" t="s">
        <v>599</v>
      </c>
    </row>
  </sheetData>
  <mergeCells count="1">
    <mergeCell ref="A1:F1"/>
  </mergeCells>
  <conditionalFormatting sqref="F3:F11">
    <cfRule type="expression" priority="2" aboveAverage="0" equalAverage="0" bottom="0" percent="0" rank="0" text="" dxfId="36">
      <formula>F3="High"</formula>
    </cfRule>
    <cfRule type="expression" priority="3" aboveAverage="0" equalAverage="0" bottom="0" percent="0" rank="0" text="" dxfId="37">
      <formula>F3="Medium"</formula>
    </cfRule>
  </conditionalFormatting>
  <dataValidations count="1">
    <dataValidation allowBlank="false" errorStyle="stop" operator="between" showDropDown="false" showErrorMessage="false" showInputMessage="false" sqref="F3:F1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88.21"/>
  </cols>
  <sheetData>
    <row r="1" customFormat="false" ht="15" hidden="false" customHeight="false" outlineLevel="0" collapsed="false">
      <c r="A1" s="200" t="s">
        <v>655</v>
      </c>
      <c r="B1" s="200"/>
      <c r="C1" s="200"/>
      <c r="D1" s="200"/>
      <c r="E1" s="200"/>
      <c r="F1" s="200"/>
      <c r="G1" s="200"/>
      <c r="H1" s="200"/>
    </row>
    <row r="3" customFormat="false" ht="15" hidden="false" customHeight="false" outlineLevel="0" collapsed="false">
      <c r="A3" s="201" t="s">
        <v>656</v>
      </c>
      <c r="B3" s="201" t="s">
        <v>657</v>
      </c>
    </row>
    <row r="4" customFormat="false" ht="15" hidden="false" customHeight="false" outlineLevel="0" collapsed="false">
      <c r="A4" s="191" t="s">
        <v>658</v>
      </c>
      <c r="B4" s="191" t="n">
        <f aca="false">COUNTIF('Full BOM'!S5:S42,"THB")</f>
        <v>14</v>
      </c>
    </row>
    <row r="5" customFormat="false" ht="15" hidden="false" customHeight="false" outlineLevel="0" collapsed="false">
      <c r="A5" s="191" t="s">
        <v>659</v>
      </c>
      <c r="B5" s="191" t="n">
        <f aca="false">COUNTIF('Full BOM'!R5:R42,"RFQ")+COUNTIF('Full BOM'!R5:R42,"TBD")</f>
        <v>22</v>
      </c>
    </row>
    <row r="6" customFormat="false" ht="15" hidden="false" customHeight="false" outlineLevel="0" collapsed="false">
      <c r="A6" s="191" t="s">
        <v>660</v>
      </c>
      <c r="B6" s="202" t="n">
        <f aca="false">SUM('Full BOM'!X5:X42)</f>
        <v>154769.33</v>
      </c>
    </row>
    <row r="7" customFormat="false" ht="14.9" hidden="false" customHeight="false" outlineLevel="0" collapsed="false">
      <c r="A7" s="191" t="s">
        <v>661</v>
      </c>
      <c r="B7" s="191" t="s">
        <v>662</v>
      </c>
    </row>
    <row r="8" customFormat="false" ht="15" hidden="false" customHeight="false" outlineLevel="0" collapsed="false">
      <c r="A8" s="191" t="s">
        <v>663</v>
      </c>
      <c r="B8" s="191" t="s">
        <v>664</v>
      </c>
    </row>
    <row r="9" customFormat="false" ht="15" hidden="false" customHeight="false" outlineLevel="0" collapsed="false">
      <c r="A9" s="191" t="s">
        <v>665</v>
      </c>
      <c r="B9" s="191" t="s">
        <v>666</v>
      </c>
    </row>
    <row r="10" customFormat="false" ht="28.35" hidden="false" customHeight="false" outlineLevel="0" collapsed="false">
      <c r="A10" s="191" t="s">
        <v>667</v>
      </c>
      <c r="B10" s="191" t="s">
        <v>668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2026-07-24T16:41:18Z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